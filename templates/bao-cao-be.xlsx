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ly you\"/>
    </mc:Choice>
  </mc:AlternateContent>
  <bookViews>
    <workbookView xWindow="0" yWindow="0" windowWidth="23040" windowHeight="9072"/>
  </bookViews>
  <sheets>
    <sheet name="Bế 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'Bế '!$A$4:$X$501</definedName>
    <definedName name="DANHMUCSANPHAM">'[4]Danh mục Sản phẩm'!$C$7:$R$505</definedName>
    <definedName name="TENSPSX_OF">'[4]Danh mục Sản phẩm'!$F$32:$F$101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78" i="1" l="1"/>
  <c r="L578" i="1"/>
  <c r="K578" i="1"/>
  <c r="M577" i="1"/>
  <c r="L577" i="1"/>
  <c r="K577" i="1"/>
  <c r="M576" i="1"/>
  <c r="L576" i="1"/>
  <c r="K576" i="1"/>
  <c r="M575" i="1"/>
  <c r="L575" i="1"/>
  <c r="K575" i="1"/>
  <c r="M574" i="1"/>
  <c r="L574" i="1"/>
  <c r="K574" i="1"/>
  <c r="M573" i="1"/>
  <c r="L573" i="1"/>
  <c r="K573" i="1"/>
  <c r="M572" i="1"/>
  <c r="L572" i="1"/>
  <c r="K572" i="1"/>
  <c r="M571" i="1"/>
  <c r="L571" i="1"/>
  <c r="K571" i="1"/>
  <c r="M570" i="1"/>
  <c r="L570" i="1"/>
  <c r="K570" i="1"/>
  <c r="M569" i="1"/>
  <c r="L569" i="1"/>
  <c r="K569" i="1"/>
  <c r="M568" i="1"/>
  <c r="L568" i="1"/>
  <c r="K568" i="1"/>
  <c r="M567" i="1"/>
  <c r="L567" i="1"/>
  <c r="K567" i="1"/>
  <c r="M566" i="1"/>
  <c r="L566" i="1"/>
  <c r="K566" i="1"/>
  <c r="M565" i="1"/>
  <c r="L565" i="1"/>
  <c r="K565" i="1"/>
  <c r="M564" i="1"/>
  <c r="L564" i="1"/>
  <c r="K564" i="1"/>
  <c r="M563" i="1"/>
  <c r="L563" i="1"/>
  <c r="K563" i="1"/>
  <c r="AF562" i="1"/>
  <c r="M562" i="1"/>
  <c r="L562" i="1"/>
  <c r="K562" i="1"/>
  <c r="AF561" i="1"/>
  <c r="M561" i="1"/>
  <c r="L561" i="1"/>
  <c r="AF560" i="1"/>
  <c r="M560" i="1"/>
  <c r="L560" i="1"/>
  <c r="K560" i="1"/>
  <c r="AF559" i="1"/>
  <c r="M559" i="1"/>
  <c r="L559" i="1"/>
  <c r="K559" i="1"/>
  <c r="AF558" i="1"/>
  <c r="M558" i="1"/>
  <c r="L558" i="1"/>
  <c r="K558" i="1"/>
  <c r="AF557" i="1"/>
  <c r="M557" i="1"/>
  <c r="L557" i="1"/>
  <c r="K557" i="1"/>
  <c r="AF556" i="1"/>
  <c r="M556" i="1"/>
  <c r="L556" i="1"/>
  <c r="K556" i="1"/>
  <c r="AF555" i="1"/>
  <c r="M555" i="1"/>
  <c r="L555" i="1"/>
  <c r="K555" i="1"/>
  <c r="AF554" i="1"/>
  <c r="M554" i="1"/>
  <c r="L554" i="1"/>
  <c r="K554" i="1"/>
  <c r="AF553" i="1"/>
  <c r="M553" i="1"/>
  <c r="L553" i="1"/>
  <c r="K553" i="1"/>
  <c r="AF552" i="1"/>
  <c r="M552" i="1"/>
  <c r="L552" i="1"/>
  <c r="K552" i="1"/>
  <c r="AF551" i="1"/>
  <c r="M551" i="1"/>
  <c r="L551" i="1"/>
  <c r="K551" i="1"/>
  <c r="AF550" i="1"/>
  <c r="M550" i="1"/>
  <c r="L550" i="1"/>
  <c r="K550" i="1"/>
  <c r="AF549" i="1"/>
  <c r="M549" i="1"/>
  <c r="L549" i="1"/>
  <c r="K549" i="1"/>
  <c r="AF548" i="1"/>
  <c r="M548" i="1"/>
  <c r="L548" i="1"/>
  <c r="K548" i="1"/>
  <c r="AF547" i="1"/>
  <c r="M547" i="1"/>
  <c r="L547" i="1"/>
  <c r="K547" i="1"/>
  <c r="AF546" i="1"/>
  <c r="N546" i="1"/>
  <c r="M546" i="1"/>
  <c r="L546" i="1"/>
  <c r="K546" i="1"/>
  <c r="AF545" i="1"/>
  <c r="M545" i="1"/>
  <c r="L545" i="1"/>
  <c r="K545" i="1"/>
  <c r="AF544" i="1"/>
  <c r="M544" i="1"/>
  <c r="L544" i="1"/>
  <c r="K544" i="1"/>
  <c r="AF543" i="1"/>
  <c r="M543" i="1"/>
  <c r="L543" i="1"/>
  <c r="K543" i="1"/>
  <c r="AF542" i="1"/>
  <c r="M542" i="1"/>
  <c r="L542" i="1"/>
  <c r="K542" i="1"/>
  <c r="AF541" i="1"/>
  <c r="M541" i="1"/>
  <c r="L541" i="1"/>
  <c r="K541" i="1"/>
  <c r="AF540" i="1"/>
  <c r="M540" i="1"/>
  <c r="L540" i="1"/>
  <c r="K540" i="1"/>
  <c r="AF539" i="1"/>
  <c r="M539" i="1"/>
  <c r="L539" i="1"/>
  <c r="K539" i="1"/>
  <c r="AF538" i="1"/>
  <c r="M538" i="1"/>
  <c r="L538" i="1"/>
  <c r="K538" i="1"/>
  <c r="AF537" i="1"/>
  <c r="M537" i="1"/>
  <c r="L537" i="1"/>
  <c r="K537" i="1"/>
  <c r="AF536" i="1"/>
  <c r="M536" i="1"/>
  <c r="L536" i="1"/>
  <c r="K536" i="1"/>
  <c r="AF535" i="1"/>
  <c r="M535" i="1"/>
  <c r="L535" i="1"/>
  <c r="K535" i="1"/>
  <c r="AF534" i="1"/>
  <c r="M534" i="1"/>
  <c r="L534" i="1"/>
  <c r="K534" i="1"/>
  <c r="AF533" i="1"/>
  <c r="M533" i="1"/>
  <c r="L533" i="1"/>
  <c r="K533" i="1"/>
  <c r="AF532" i="1"/>
  <c r="M532" i="1"/>
  <c r="L532" i="1"/>
  <c r="K532" i="1"/>
  <c r="AF531" i="1"/>
  <c r="M531" i="1"/>
  <c r="L531" i="1"/>
  <c r="K531" i="1"/>
  <c r="AF530" i="1"/>
  <c r="M530" i="1"/>
  <c r="L530" i="1"/>
  <c r="K530" i="1"/>
  <c r="AF529" i="1"/>
  <c r="M529" i="1"/>
  <c r="L529" i="1"/>
  <c r="K529" i="1"/>
  <c r="AF528" i="1"/>
  <c r="M528" i="1"/>
  <c r="L528" i="1"/>
  <c r="K528" i="1"/>
  <c r="AF527" i="1"/>
  <c r="M527" i="1"/>
  <c r="L527" i="1"/>
  <c r="K527" i="1"/>
  <c r="AF526" i="1"/>
  <c r="M526" i="1"/>
  <c r="L526" i="1"/>
  <c r="K526" i="1"/>
  <c r="AF525" i="1"/>
  <c r="M525" i="1"/>
  <c r="L525" i="1"/>
  <c r="K525" i="1"/>
  <c r="AF524" i="1"/>
  <c r="M524" i="1"/>
  <c r="L524" i="1"/>
  <c r="K524" i="1"/>
  <c r="AF523" i="1"/>
  <c r="M523" i="1"/>
  <c r="L523" i="1"/>
  <c r="K523" i="1"/>
  <c r="AF522" i="1"/>
  <c r="M522" i="1"/>
  <c r="L522" i="1"/>
  <c r="K522" i="1"/>
  <c r="AF521" i="1"/>
  <c r="M521" i="1"/>
  <c r="L521" i="1"/>
  <c r="K521" i="1"/>
  <c r="AF520" i="1"/>
  <c r="M520" i="1"/>
  <c r="L520" i="1"/>
  <c r="K520" i="1"/>
  <c r="AF519" i="1"/>
  <c r="M519" i="1"/>
  <c r="L519" i="1"/>
  <c r="K519" i="1"/>
  <c r="AF518" i="1"/>
  <c r="N518" i="1"/>
  <c r="M518" i="1"/>
  <c r="L518" i="1"/>
  <c r="K518" i="1"/>
  <c r="AF517" i="1"/>
  <c r="N517" i="1"/>
  <c r="M517" i="1"/>
  <c r="L517" i="1"/>
  <c r="K517" i="1"/>
  <c r="AF516" i="1"/>
  <c r="N516" i="1"/>
  <c r="M516" i="1"/>
  <c r="L516" i="1"/>
  <c r="K516" i="1"/>
  <c r="AF515" i="1"/>
  <c r="M515" i="1"/>
  <c r="L515" i="1"/>
  <c r="K515" i="1"/>
  <c r="AF514" i="1"/>
  <c r="M514" i="1"/>
  <c r="L514" i="1"/>
  <c r="K514" i="1"/>
  <c r="AF513" i="1"/>
  <c r="M513" i="1"/>
  <c r="L513" i="1"/>
  <c r="K513" i="1"/>
  <c r="AF512" i="1"/>
  <c r="M512" i="1"/>
  <c r="L512" i="1"/>
  <c r="K512" i="1"/>
  <c r="AF511" i="1"/>
  <c r="N511" i="1"/>
  <c r="M511" i="1"/>
  <c r="L511" i="1"/>
  <c r="K511" i="1"/>
  <c r="AF510" i="1"/>
  <c r="M510" i="1"/>
  <c r="L510" i="1"/>
  <c r="K510" i="1"/>
  <c r="AF509" i="1"/>
  <c r="M509" i="1"/>
  <c r="L509" i="1"/>
  <c r="K509" i="1"/>
  <c r="AF508" i="1"/>
  <c r="P508" i="1"/>
  <c r="M508" i="1"/>
  <c r="L508" i="1"/>
  <c r="K508" i="1"/>
  <c r="AF507" i="1"/>
  <c r="M507" i="1"/>
  <c r="L507" i="1"/>
  <c r="K507" i="1"/>
  <c r="AF506" i="1"/>
  <c r="M506" i="1"/>
  <c r="L506" i="1"/>
  <c r="K506" i="1"/>
  <c r="AF505" i="1"/>
  <c r="M505" i="1"/>
  <c r="L505" i="1"/>
  <c r="K505" i="1"/>
  <c r="AF504" i="1"/>
  <c r="M504" i="1"/>
  <c r="L504" i="1"/>
  <c r="K504" i="1"/>
  <c r="AF503" i="1"/>
  <c r="M503" i="1"/>
  <c r="L503" i="1"/>
  <c r="AF502" i="1"/>
  <c r="O502" i="1"/>
  <c r="O503" i="1" s="1"/>
  <c r="M502" i="1"/>
  <c r="L502" i="1"/>
  <c r="K502" i="1"/>
  <c r="AF501" i="1"/>
  <c r="M501" i="1"/>
  <c r="L501" i="1"/>
  <c r="K501" i="1"/>
  <c r="AF500" i="1"/>
  <c r="M500" i="1"/>
  <c r="L500" i="1"/>
  <c r="K500" i="1"/>
  <c r="AF499" i="1"/>
  <c r="M499" i="1"/>
  <c r="L499" i="1"/>
  <c r="K499" i="1"/>
  <c r="AF498" i="1"/>
  <c r="M498" i="1"/>
  <c r="L498" i="1"/>
  <c r="K498" i="1"/>
  <c r="AF497" i="1"/>
  <c r="M497" i="1"/>
  <c r="L497" i="1"/>
  <c r="K497" i="1"/>
  <c r="AF496" i="1"/>
  <c r="M496" i="1"/>
  <c r="L496" i="1"/>
  <c r="AF495" i="1"/>
  <c r="M495" i="1"/>
  <c r="L495" i="1"/>
  <c r="K495" i="1"/>
  <c r="AF494" i="1"/>
  <c r="M494" i="1"/>
  <c r="L494" i="1"/>
  <c r="K494" i="1"/>
  <c r="AF493" i="1"/>
  <c r="M493" i="1"/>
  <c r="L493" i="1"/>
  <c r="K493" i="1"/>
  <c r="AF492" i="1"/>
  <c r="N492" i="1"/>
  <c r="M492" i="1"/>
  <c r="L492" i="1"/>
  <c r="K492" i="1"/>
  <c r="P492" i="1" s="1"/>
  <c r="H492" i="1"/>
  <c r="AF491" i="1"/>
  <c r="M491" i="1"/>
  <c r="L491" i="1"/>
  <c r="K491" i="1"/>
  <c r="AF490" i="1"/>
  <c r="M490" i="1"/>
  <c r="L490" i="1"/>
  <c r="K490" i="1"/>
  <c r="AF489" i="1"/>
  <c r="M489" i="1"/>
  <c r="L489" i="1"/>
  <c r="K489" i="1"/>
  <c r="AF488" i="1"/>
  <c r="M488" i="1"/>
  <c r="L488" i="1"/>
  <c r="K488" i="1"/>
  <c r="AF487" i="1"/>
  <c r="M487" i="1"/>
  <c r="L487" i="1"/>
  <c r="K487" i="1"/>
  <c r="AF486" i="1"/>
  <c r="M486" i="1"/>
  <c r="L486" i="1"/>
  <c r="K486" i="1"/>
  <c r="AF485" i="1"/>
  <c r="M485" i="1"/>
  <c r="L485" i="1"/>
  <c r="K485" i="1"/>
  <c r="AF484" i="1"/>
  <c r="M484" i="1"/>
  <c r="L484" i="1"/>
  <c r="K484" i="1"/>
  <c r="AF483" i="1"/>
  <c r="M483" i="1"/>
  <c r="L483" i="1"/>
  <c r="K483" i="1"/>
  <c r="AF482" i="1"/>
  <c r="M482" i="1"/>
  <c r="L482" i="1"/>
  <c r="K482" i="1"/>
  <c r="AF481" i="1"/>
  <c r="M481" i="1"/>
  <c r="L481" i="1"/>
  <c r="K481" i="1"/>
  <c r="AF480" i="1"/>
  <c r="M480" i="1"/>
  <c r="L480" i="1"/>
  <c r="K480" i="1"/>
  <c r="AF479" i="1"/>
  <c r="M479" i="1"/>
  <c r="L479" i="1"/>
  <c r="K479" i="1"/>
  <c r="AF478" i="1"/>
  <c r="M478" i="1"/>
  <c r="L478" i="1"/>
  <c r="K478" i="1"/>
  <c r="AF477" i="1"/>
  <c r="M477" i="1"/>
  <c r="L477" i="1"/>
  <c r="K477" i="1"/>
  <c r="AF476" i="1"/>
  <c r="M476" i="1"/>
  <c r="L476" i="1"/>
  <c r="K476" i="1"/>
  <c r="AF475" i="1"/>
  <c r="M475" i="1"/>
  <c r="L475" i="1"/>
  <c r="K475" i="1"/>
  <c r="AF474" i="1"/>
  <c r="M474" i="1"/>
  <c r="L474" i="1"/>
  <c r="K474" i="1"/>
  <c r="AF473" i="1"/>
  <c r="M473" i="1"/>
  <c r="L473" i="1"/>
  <c r="K473" i="1"/>
  <c r="AF472" i="1"/>
  <c r="M472" i="1"/>
  <c r="L472" i="1"/>
  <c r="K472" i="1"/>
  <c r="AF471" i="1"/>
  <c r="M471" i="1"/>
  <c r="L471" i="1"/>
  <c r="K471" i="1"/>
  <c r="AF470" i="1"/>
  <c r="M470" i="1"/>
  <c r="L470" i="1"/>
  <c r="K470" i="1"/>
  <c r="AF469" i="1"/>
  <c r="M469" i="1"/>
  <c r="L469" i="1"/>
  <c r="K469" i="1"/>
  <c r="N485" i="1" s="1"/>
  <c r="AF468" i="1"/>
  <c r="M468" i="1"/>
  <c r="L468" i="1"/>
  <c r="K468" i="1"/>
  <c r="AF467" i="1"/>
  <c r="M467" i="1"/>
  <c r="L467" i="1"/>
  <c r="AF466" i="1"/>
  <c r="M466" i="1"/>
  <c r="L466" i="1"/>
  <c r="K466" i="1"/>
  <c r="AF465" i="1"/>
  <c r="M465" i="1"/>
  <c r="L465" i="1"/>
  <c r="K465" i="1"/>
  <c r="AF464" i="1"/>
  <c r="M464" i="1"/>
  <c r="L464" i="1"/>
  <c r="K464" i="1"/>
  <c r="AF463" i="1"/>
  <c r="M463" i="1"/>
  <c r="L463" i="1"/>
  <c r="K463" i="1"/>
  <c r="M462" i="1"/>
  <c r="L462" i="1"/>
  <c r="K462" i="1"/>
  <c r="AF461" i="1"/>
  <c r="M461" i="1"/>
  <c r="L461" i="1"/>
  <c r="K461" i="1"/>
  <c r="AF460" i="1"/>
  <c r="N460" i="1"/>
  <c r="M460" i="1"/>
  <c r="O456" i="1"/>
  <c r="O358" i="1"/>
  <c r="O340" i="1"/>
  <c r="O339" i="1"/>
  <c r="O338" i="1"/>
  <c r="P336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P314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1" i="1"/>
  <c r="O290" i="1"/>
  <c r="O289" i="1"/>
  <c r="O288" i="1"/>
  <c r="O287" i="1"/>
  <c r="O286" i="1"/>
  <c r="O285" i="1"/>
  <c r="O283" i="1"/>
  <c r="O282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P266" i="1"/>
  <c r="O266" i="1"/>
  <c r="P265" i="1"/>
  <c r="O265" i="1"/>
  <c r="O264" i="1"/>
  <c r="O263" i="1"/>
  <c r="O262" i="1"/>
  <c r="O261" i="1"/>
  <c r="O260" i="1"/>
  <c r="O259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Q245" i="1"/>
  <c r="O245" i="1"/>
  <c r="O243" i="1"/>
  <c r="O242" i="1"/>
  <c r="O241" i="1"/>
  <c r="O240" i="1"/>
  <c r="O239" i="1"/>
  <c r="O238" i="1"/>
  <c r="O236" i="1"/>
  <c r="O235" i="1"/>
  <c r="O234" i="1"/>
  <c r="O233" i="1"/>
  <c r="P232" i="1"/>
  <c r="O232" i="1"/>
  <c r="O231" i="1"/>
  <c r="O230" i="1"/>
  <c r="O229" i="1"/>
  <c r="O228" i="1"/>
  <c r="O226" i="1"/>
  <c r="O225" i="1"/>
  <c r="O224" i="1"/>
  <c r="U223" i="1"/>
  <c r="T223" i="1"/>
  <c r="V223" i="1" s="1"/>
  <c r="S223" i="1"/>
  <c r="O223" i="1"/>
  <c r="U222" i="1"/>
  <c r="T222" i="1"/>
  <c r="S222" i="1"/>
  <c r="V222" i="1" s="1"/>
  <c r="O222" i="1"/>
  <c r="U220" i="1"/>
  <c r="T220" i="1"/>
  <c r="Q220" i="1"/>
  <c r="O220" i="1"/>
  <c r="O219" i="1"/>
  <c r="AF218" i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F243" i="1" s="1"/>
  <c r="AF244" i="1" s="1"/>
  <c r="AF245" i="1" s="1"/>
  <c r="AF246" i="1" s="1"/>
  <c r="AF247" i="1" s="1"/>
  <c r="AF217" i="1"/>
  <c r="O217" i="1"/>
  <c r="O216" i="1"/>
  <c r="O213" i="1"/>
  <c r="AF212" i="1"/>
  <c r="AF213" i="1" s="1"/>
  <c r="AF214" i="1" s="1"/>
  <c r="AF215" i="1" s="1"/>
  <c r="AF216" i="1" s="1"/>
  <c r="O212" i="1"/>
  <c r="AF211" i="1"/>
  <c r="O211" i="1"/>
  <c r="AF210" i="1"/>
  <c r="O208" i="1"/>
  <c r="O207" i="1"/>
  <c r="O204" i="1"/>
  <c r="O200" i="1"/>
  <c r="O199" i="1"/>
  <c r="P198" i="1"/>
  <c r="O198" i="1"/>
  <c r="P193" i="1"/>
  <c r="O193" i="1"/>
  <c r="P192" i="1"/>
  <c r="O192" i="1"/>
  <c r="P191" i="1"/>
  <c r="O191" i="1"/>
  <c r="P190" i="1"/>
  <c r="O190" i="1"/>
  <c r="O185" i="1"/>
  <c r="O183" i="1"/>
  <c r="AF182" i="1"/>
  <c r="AF183" i="1" s="1"/>
  <c r="AF180" i="1"/>
  <c r="AF181" i="1" s="1"/>
  <c r="P178" i="1"/>
  <c r="O178" i="1"/>
  <c r="AF176" i="1"/>
  <c r="AF177" i="1" s="1"/>
  <c r="AF178" i="1" s="1"/>
  <c r="AF179" i="1" s="1"/>
  <c r="AF175" i="1"/>
  <c r="P173" i="1"/>
  <c r="O173" i="1"/>
  <c r="P168" i="1"/>
  <c r="O168" i="1"/>
  <c r="P167" i="1"/>
  <c r="O167" i="1"/>
  <c r="P163" i="1"/>
  <c r="O163" i="1"/>
  <c r="P161" i="1"/>
  <c r="O161" i="1"/>
  <c r="P159" i="1"/>
  <c r="O159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P148" i="1"/>
  <c r="P147" i="1"/>
  <c r="P146" i="1"/>
  <c r="P145" i="1"/>
  <c r="P144" i="1"/>
  <c r="P143" i="1"/>
  <c r="P142" i="1"/>
  <c r="O142" i="1"/>
  <c r="K140" i="1"/>
  <c r="P140" i="1" s="1"/>
  <c r="K139" i="1"/>
  <c r="P139" i="1" s="1"/>
  <c r="AF138" i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1" i="1" s="1"/>
  <c r="AF162" i="1" s="1"/>
  <c r="AF163" i="1" s="1"/>
  <c r="AF164" i="1" s="1"/>
  <c r="AF165" i="1" s="1"/>
  <c r="AF166" i="1" s="1"/>
  <c r="AF167" i="1" s="1"/>
  <c r="AF168" i="1" s="1"/>
  <c r="AF170" i="1" s="1"/>
  <c r="AF171" i="1" s="1"/>
  <c r="AF172" i="1" s="1"/>
  <c r="AF173" i="1" s="1"/>
  <c r="AF174" i="1" s="1"/>
  <c r="P138" i="1"/>
  <c r="O138" i="1"/>
  <c r="K138" i="1"/>
  <c r="G138" i="1"/>
  <c r="H138" i="1" s="1"/>
  <c r="F141" i="1" s="1"/>
  <c r="H141" i="1" s="1"/>
  <c r="AF137" i="1"/>
  <c r="P137" i="1"/>
  <c r="O137" i="1"/>
  <c r="P136" i="1"/>
  <c r="O136" i="1"/>
  <c r="P135" i="1"/>
  <c r="O135" i="1"/>
  <c r="K134" i="1"/>
  <c r="AF133" i="1"/>
  <c r="AF134" i="1" s="1"/>
  <c r="AF135" i="1" s="1"/>
  <c r="AF136" i="1" s="1"/>
  <c r="P133" i="1"/>
  <c r="O133" i="1"/>
  <c r="AF132" i="1"/>
  <c r="P132" i="1"/>
  <c r="O132" i="1"/>
  <c r="P131" i="1"/>
  <c r="O131" i="1"/>
  <c r="AF130" i="1"/>
  <c r="P130" i="1"/>
  <c r="O130" i="1"/>
  <c r="P129" i="1"/>
  <c r="P128" i="1"/>
  <c r="O128" i="1"/>
  <c r="K128" i="1"/>
  <c r="K503" i="1" s="1"/>
  <c r="F128" i="1"/>
  <c r="H128" i="1" s="1"/>
  <c r="F133" i="1" s="1"/>
  <c r="H133" i="1" s="1"/>
  <c r="F139" i="1" s="1"/>
  <c r="H139" i="1" s="1"/>
  <c r="AF127" i="1"/>
  <c r="K127" i="1"/>
  <c r="P127" i="1" s="1"/>
  <c r="P126" i="1"/>
  <c r="O126" i="1"/>
  <c r="P125" i="1"/>
  <c r="O125" i="1"/>
  <c r="P124" i="1"/>
  <c r="O124" i="1"/>
  <c r="H124" i="1"/>
  <c r="P123" i="1"/>
  <c r="O123" i="1"/>
  <c r="AF122" i="1"/>
  <c r="AF123" i="1" s="1"/>
  <c r="AF125" i="1" s="1"/>
  <c r="AF126" i="1" s="1"/>
  <c r="P122" i="1"/>
  <c r="O122" i="1"/>
  <c r="P121" i="1"/>
  <c r="O121" i="1"/>
  <c r="AF120" i="1"/>
  <c r="AF121" i="1" s="1"/>
  <c r="P120" i="1"/>
  <c r="O120" i="1"/>
  <c r="F120" i="1"/>
  <c r="H120" i="1" s="1"/>
  <c r="F122" i="1" s="1"/>
  <c r="H122" i="1" s="1"/>
  <c r="F125" i="1" s="1"/>
  <c r="H125" i="1" s="1"/>
  <c r="F127" i="1" s="1"/>
  <c r="H127" i="1" s="1"/>
  <c r="F130" i="1" s="1"/>
  <c r="H130" i="1" s="1"/>
  <c r="F132" i="1" s="1"/>
  <c r="H132" i="1" s="1"/>
  <c r="Q116" i="1"/>
  <c r="P116" i="1"/>
  <c r="O116" i="1"/>
  <c r="K116" i="1"/>
  <c r="AF115" i="1"/>
  <c r="Q115" i="1"/>
  <c r="P115" i="1"/>
  <c r="O115" i="1"/>
  <c r="H115" i="1"/>
  <c r="F117" i="1" s="1"/>
  <c r="H117" i="1" s="1"/>
  <c r="AF114" i="1"/>
  <c r="P114" i="1"/>
  <c r="P113" i="1"/>
  <c r="K113" i="1"/>
  <c r="P112" i="1"/>
  <c r="O112" i="1"/>
  <c r="K111" i="1"/>
  <c r="AF110" i="1"/>
  <c r="AF111" i="1" s="1"/>
  <c r="AF112" i="1" s="1"/>
  <c r="AF113" i="1" s="1"/>
  <c r="P110" i="1"/>
  <c r="O110" i="1"/>
  <c r="P109" i="1"/>
  <c r="O109" i="1"/>
  <c r="H109" i="1"/>
  <c r="F110" i="1" s="1"/>
  <c r="H110" i="1" s="1"/>
  <c r="AF108" i="1"/>
  <c r="AF109" i="1" s="1"/>
  <c r="P108" i="1"/>
  <c r="O108" i="1"/>
  <c r="AF107" i="1"/>
  <c r="P107" i="1"/>
  <c r="O107" i="1"/>
  <c r="P106" i="1"/>
  <c r="O106" i="1"/>
  <c r="AF105" i="1"/>
  <c r="AF106" i="1" s="1"/>
  <c r="P105" i="1"/>
  <c r="O105" i="1"/>
  <c r="P104" i="1"/>
  <c r="O104" i="1"/>
  <c r="P103" i="1"/>
  <c r="O103" i="1"/>
  <c r="F103" i="1"/>
  <c r="H103" i="1" s="1"/>
  <c r="F106" i="1" s="1"/>
  <c r="H106" i="1" s="1"/>
  <c r="AF102" i="1"/>
  <c r="AF103" i="1" s="1"/>
  <c r="AF104" i="1" s="1"/>
  <c r="P102" i="1"/>
  <c r="O102" i="1"/>
  <c r="F102" i="1"/>
  <c r="H102" i="1" s="1"/>
  <c r="F105" i="1" s="1"/>
  <c r="H105" i="1" s="1"/>
  <c r="F112" i="1" s="1"/>
  <c r="H112" i="1" s="1"/>
  <c r="AF101" i="1"/>
  <c r="K101" i="1"/>
  <c r="P101" i="1" s="1"/>
  <c r="P99" i="1"/>
  <c r="O99" i="1"/>
  <c r="H99" i="1"/>
  <c r="P98" i="1"/>
  <c r="O98" i="1"/>
  <c r="AF96" i="1"/>
  <c r="AF97" i="1" s="1"/>
  <c r="AF98" i="1" s="1"/>
  <c r="AF99" i="1" s="1"/>
  <c r="AF100" i="1" s="1"/>
  <c r="P95" i="1"/>
  <c r="AF94" i="1"/>
  <c r="AF95" i="1" s="1"/>
  <c r="S94" i="1"/>
  <c r="P94" i="1"/>
  <c r="O94" i="1"/>
  <c r="P93" i="1"/>
  <c r="O93" i="1"/>
  <c r="P92" i="1"/>
  <c r="X91" i="1"/>
  <c r="S91" i="1"/>
  <c r="P91" i="1"/>
  <c r="O91" i="1"/>
  <c r="S90" i="1"/>
  <c r="X90" i="1" s="1"/>
  <c r="P90" i="1"/>
  <c r="O90" i="1"/>
  <c r="H89" i="1"/>
  <c r="F91" i="1" s="1"/>
  <c r="H91" i="1" s="1"/>
  <c r="F94" i="1" s="1"/>
  <c r="H94" i="1" s="1"/>
  <c r="F96" i="1" s="1"/>
  <c r="H96" i="1" s="1"/>
  <c r="F101" i="1" s="1"/>
  <c r="H101" i="1" s="1"/>
  <c r="F104" i="1" s="1"/>
  <c r="H104" i="1" s="1"/>
  <c r="F108" i="1" s="1"/>
  <c r="H108" i="1" s="1"/>
  <c r="F113" i="1" s="1"/>
  <c r="H113" i="1" s="1"/>
  <c r="AF88" i="1"/>
  <c r="AF89" i="1" s="1"/>
  <c r="AF90" i="1" s="1"/>
  <c r="AF91" i="1" s="1"/>
  <c r="AF92" i="1" s="1"/>
  <c r="AF93" i="1" s="1"/>
  <c r="P88" i="1"/>
  <c r="H88" i="1"/>
  <c r="P87" i="1"/>
  <c r="P86" i="1"/>
  <c r="P85" i="1"/>
  <c r="H85" i="1"/>
  <c r="F98" i="1" s="1"/>
  <c r="H98" i="1" s="1"/>
  <c r="P84" i="1"/>
  <c r="H84" i="1"/>
  <c r="P83" i="1"/>
  <c r="H83" i="1"/>
  <c r="P82" i="1"/>
  <c r="X81" i="1"/>
  <c r="P81" i="1"/>
  <c r="O81" i="1"/>
  <c r="P80" i="1"/>
  <c r="O80" i="1"/>
  <c r="H80" i="1"/>
  <c r="F86" i="1" s="1"/>
  <c r="H86" i="1" s="1"/>
  <c r="F90" i="1" s="1"/>
  <c r="H90" i="1" s="1"/>
  <c r="F92" i="1" s="1"/>
  <c r="H92" i="1" s="1"/>
  <c r="F95" i="1" s="1"/>
  <c r="H95" i="1" s="1"/>
  <c r="F97" i="1" s="1"/>
  <c r="H97" i="1" s="1"/>
  <c r="P79" i="1"/>
  <c r="O79" i="1"/>
  <c r="H79" i="1"/>
  <c r="P78" i="1"/>
  <c r="O78" i="1"/>
  <c r="H78" i="1"/>
  <c r="P77" i="1"/>
  <c r="O77" i="1"/>
  <c r="P76" i="1"/>
  <c r="O76" i="1"/>
  <c r="F76" i="1"/>
  <c r="H76" i="1" s="1"/>
  <c r="F81" i="1" s="1"/>
  <c r="H81" i="1" s="1"/>
  <c r="P75" i="1"/>
  <c r="P74" i="1"/>
  <c r="O74" i="1"/>
  <c r="H74" i="1"/>
  <c r="P73" i="1"/>
  <c r="O73" i="1"/>
  <c r="H73" i="1"/>
  <c r="AF72" i="1"/>
  <c r="AF73" i="1" s="1"/>
  <c r="AF74" i="1" s="1"/>
  <c r="AF75" i="1" s="1"/>
  <c r="AF76" i="1" s="1"/>
  <c r="AF77" i="1" s="1"/>
  <c r="AF79" i="1" s="1"/>
  <c r="AF80" i="1" s="1"/>
  <c r="AF81" i="1" s="1"/>
  <c r="AF82" i="1" s="1"/>
  <c r="AF83" i="1" s="1"/>
  <c r="AF84" i="1" s="1"/>
  <c r="H72" i="1"/>
  <c r="AF71" i="1"/>
  <c r="P71" i="1"/>
  <c r="O71" i="1"/>
  <c r="P70" i="1"/>
  <c r="O70" i="1"/>
  <c r="AF69" i="1"/>
  <c r="AF70" i="1" s="1"/>
  <c r="K69" i="1"/>
  <c r="P69" i="1" s="1"/>
  <c r="AF68" i="1"/>
  <c r="F68" i="1"/>
  <c r="H68" i="1" s="1"/>
  <c r="F70" i="1" s="1"/>
  <c r="H70" i="1" s="1"/>
  <c r="F71" i="1" s="1"/>
  <c r="H71" i="1" s="1"/>
  <c r="S65" i="1"/>
  <c r="X65" i="1" s="1"/>
  <c r="P65" i="1"/>
  <c r="O65" i="1"/>
  <c r="AF63" i="1"/>
  <c r="AF64" i="1" s="1"/>
  <c r="AF65" i="1" s="1"/>
  <c r="AF67" i="1" s="1"/>
  <c r="S63" i="1"/>
  <c r="K63" i="1"/>
  <c r="O63" i="1" s="1"/>
  <c r="AF62" i="1"/>
  <c r="H60" i="1"/>
  <c r="F62" i="1" s="1"/>
  <c r="H62" i="1" s="1"/>
  <c r="F65" i="1" s="1"/>
  <c r="H65" i="1" s="1"/>
  <c r="F66" i="1" s="1"/>
  <c r="H66" i="1" s="1"/>
  <c r="S59" i="1"/>
  <c r="P59" i="1"/>
  <c r="O59" i="1"/>
  <c r="S58" i="1"/>
  <c r="P58" i="1"/>
  <c r="O58" i="1"/>
  <c r="AF56" i="1"/>
  <c r="AF57" i="1" s="1"/>
  <c r="AF58" i="1" s="1"/>
  <c r="AF59" i="1" s="1"/>
  <c r="AF60" i="1" s="1"/>
  <c r="AF61" i="1" s="1"/>
  <c r="H55" i="1"/>
  <c r="F57" i="1" s="1"/>
  <c r="H57" i="1" s="1"/>
  <c r="F59" i="1" s="1"/>
  <c r="H59" i="1" s="1"/>
  <c r="F63" i="1" s="1"/>
  <c r="H63" i="1" s="1"/>
  <c r="F69" i="1" s="1"/>
  <c r="H69" i="1" s="1"/>
  <c r="F75" i="1" s="1"/>
  <c r="H75" i="1" s="1"/>
  <c r="L54" i="1"/>
  <c r="L460" i="1" s="1"/>
  <c r="K54" i="1"/>
  <c r="AF53" i="1"/>
  <c r="AF54" i="1" s="1"/>
  <c r="AF55" i="1" s="1"/>
  <c r="H53" i="1"/>
  <c r="AF47" i="1"/>
  <c r="AF49" i="1" s="1"/>
  <c r="AF50" i="1" s="1"/>
  <c r="AF51" i="1" s="1"/>
  <c r="S47" i="1"/>
  <c r="S220" i="1" s="1"/>
  <c r="W220" i="1" s="1"/>
  <c r="P47" i="1"/>
  <c r="O47" i="1"/>
  <c r="H47" i="1"/>
  <c r="F48" i="1" s="1"/>
  <c r="H48" i="1" s="1"/>
  <c r="F47" i="1"/>
  <c r="H43" i="1"/>
  <c r="F49" i="1" s="1"/>
  <c r="H49" i="1" s="1"/>
  <c r="AF42" i="1"/>
  <c r="AF43" i="1" s="1"/>
  <c r="AF44" i="1" s="1"/>
  <c r="AF45" i="1" s="1"/>
  <c r="AF41" i="1"/>
  <c r="K41" i="1"/>
  <c r="AF40" i="1"/>
  <c r="O40" i="1"/>
  <c r="H40" i="1"/>
  <c r="AF36" i="1"/>
  <c r="AF37" i="1" s="1"/>
  <c r="AF38" i="1" s="1"/>
  <c r="K36" i="1"/>
  <c r="K467" i="1" s="1"/>
  <c r="K35" i="1"/>
  <c r="AF34" i="1"/>
  <c r="AF35" i="1" s="1"/>
  <c r="F34" i="1"/>
  <c r="H34" i="1" s="1"/>
  <c r="H32" i="1"/>
  <c r="F35" i="1" s="1"/>
  <c r="H35" i="1" s="1"/>
  <c r="F37" i="1" s="1"/>
  <c r="H37" i="1" s="1"/>
  <c r="F41" i="1" s="1"/>
  <c r="H41" i="1" s="1"/>
  <c r="F42" i="1" s="1"/>
  <c r="H42" i="1" s="1"/>
  <c r="F51" i="1" s="1"/>
  <c r="H51" i="1" s="1"/>
  <c r="F54" i="1" s="1"/>
  <c r="H54" i="1" s="1"/>
  <c r="F56" i="1" s="1"/>
  <c r="H56" i="1" s="1"/>
  <c r="F58" i="1" s="1"/>
  <c r="H58" i="1" s="1"/>
  <c r="F64" i="1" s="1"/>
  <c r="H64" i="1" s="1"/>
  <c r="S31" i="1"/>
  <c r="P31" i="1"/>
  <c r="O31" i="1"/>
  <c r="AF30" i="1"/>
  <c r="AF31" i="1" s="1"/>
  <c r="AF32" i="1" s="1"/>
  <c r="AF33" i="1" s="1"/>
  <c r="O29" i="1"/>
  <c r="H28" i="1"/>
  <c r="F30" i="1" s="1"/>
  <c r="H30" i="1" s="1"/>
  <c r="F43" i="1" s="1"/>
  <c r="AF27" i="1"/>
  <c r="AF28" i="1" s="1"/>
  <c r="AF29" i="1" s="1"/>
  <c r="O27" i="1"/>
  <c r="AF26" i="1"/>
  <c r="H26" i="1"/>
  <c r="O24" i="1"/>
  <c r="F24" i="1"/>
  <c r="H24" i="1" s="1"/>
  <c r="F26" i="1" s="1"/>
  <c r="AF23" i="1"/>
  <c r="AF24" i="1" s="1"/>
  <c r="AF25" i="1" s="1"/>
  <c r="AF22" i="1"/>
  <c r="O22" i="1"/>
  <c r="O21" i="1"/>
  <c r="K20" i="1"/>
  <c r="H20" i="1"/>
  <c r="O19" i="1"/>
  <c r="H19" i="1"/>
  <c r="O18" i="1"/>
  <c r="O17" i="1"/>
  <c r="AF16" i="1"/>
  <c r="AF20" i="1" s="1"/>
  <c r="AF21" i="1" s="1"/>
  <c r="O16" i="1"/>
  <c r="P15" i="1"/>
  <c r="O15" i="1"/>
  <c r="O14" i="1"/>
  <c r="AF13" i="1"/>
  <c r="AF14" i="1" s="1"/>
  <c r="AF15" i="1" s="1"/>
  <c r="O13" i="1"/>
  <c r="F13" i="1"/>
  <c r="H13" i="1" s="1"/>
  <c r="F16" i="1" s="1"/>
  <c r="H16" i="1" s="1"/>
  <c r="F17" i="1" s="1"/>
  <c r="H17" i="1" s="1"/>
  <c r="F36" i="1" s="1"/>
  <c r="H36" i="1" s="1"/>
  <c r="F38" i="1" s="1"/>
  <c r="H38" i="1" s="1"/>
  <c r="AF12" i="1"/>
  <c r="O12" i="1"/>
  <c r="H12" i="1"/>
  <c r="O11" i="1"/>
  <c r="AF10" i="1"/>
  <c r="AF11" i="1" s="1"/>
  <c r="O10" i="1"/>
  <c r="H10" i="1"/>
  <c r="O9" i="1"/>
  <c r="O8" i="1"/>
  <c r="P7" i="1"/>
  <c r="H7" i="1"/>
  <c r="F11" i="1" s="1"/>
  <c r="H11" i="1" s="1"/>
  <c r="F14" i="1" s="1"/>
  <c r="H14" i="1" s="1"/>
  <c r="F27" i="1" s="1"/>
  <c r="H27" i="1" s="1"/>
  <c r="AF6" i="1"/>
  <c r="AF7" i="1" s="1"/>
  <c r="AF8" i="1" s="1"/>
  <c r="AF9" i="1" s="1"/>
  <c r="O6" i="1"/>
  <c r="K6" i="1"/>
  <c r="AF5" i="1"/>
  <c r="AF3" i="1"/>
  <c r="AF4" i="1" s="1"/>
  <c r="AF2" i="1"/>
  <c r="AF249" i="1" l="1"/>
  <c r="AF250" i="1" s="1"/>
  <c r="AF251" i="1" s="1"/>
  <c r="AF252" i="1" s="1"/>
  <c r="AF253" i="1" s="1"/>
  <c r="AF254" i="1" s="1"/>
  <c r="AF255" i="1" s="1"/>
  <c r="AF256" i="1" s="1"/>
  <c r="AF257" i="1" s="1"/>
  <c r="AF258" i="1" s="1"/>
  <c r="AF259" i="1" s="1"/>
  <c r="AF260" i="1" s="1"/>
  <c r="AF261" i="1" s="1"/>
  <c r="AF262" i="1" s="1"/>
  <c r="AF263" i="1" s="1"/>
  <c r="AF264" i="1" s="1"/>
  <c r="AF265" i="1" s="1"/>
  <c r="AF266" i="1" s="1"/>
  <c r="AF267" i="1" s="1"/>
  <c r="AF268" i="1" s="1"/>
  <c r="AF269" i="1" s="1"/>
  <c r="AF270" i="1" s="1"/>
  <c r="AF271" i="1" s="1"/>
  <c r="AF272" i="1" s="1"/>
  <c r="AF273" i="1" s="1"/>
  <c r="AF274" i="1" s="1"/>
  <c r="AF275" i="1" s="1"/>
  <c r="AF276" i="1" s="1"/>
  <c r="AF277" i="1" s="1"/>
  <c r="AF278" i="1" s="1"/>
  <c r="AF279" i="1" s="1"/>
  <c r="AF280" i="1" s="1"/>
  <c r="AF281" i="1" s="1"/>
  <c r="AF282" i="1" s="1"/>
  <c r="AF283" i="1" s="1"/>
  <c r="AF284" i="1" s="1"/>
  <c r="AF285" i="1" s="1"/>
  <c r="AF286" i="1" s="1"/>
  <c r="AF287" i="1" s="1"/>
  <c r="AF288" i="1" s="1"/>
  <c r="AF289" i="1" s="1"/>
  <c r="AF290" i="1" s="1"/>
  <c r="AF291" i="1" s="1"/>
  <c r="AF292" i="1" s="1"/>
  <c r="AF293" i="1" s="1"/>
  <c r="AF294" i="1" s="1"/>
  <c r="AF295" i="1" s="1"/>
  <c r="AF296" i="1" s="1"/>
  <c r="AF297" i="1" s="1"/>
  <c r="AF298" i="1" s="1"/>
  <c r="AF299" i="1" s="1"/>
  <c r="AF300" i="1" s="1"/>
  <c r="AF301" i="1" s="1"/>
  <c r="AF302" i="1" s="1"/>
  <c r="AF303" i="1" s="1"/>
  <c r="AF304" i="1" s="1"/>
  <c r="AF305" i="1" s="1"/>
  <c r="AF306" i="1" s="1"/>
  <c r="AF307" i="1" s="1"/>
  <c r="AF308" i="1" s="1"/>
  <c r="AF309" i="1" s="1"/>
  <c r="AF310" i="1" s="1"/>
  <c r="AF311" i="1" s="1"/>
  <c r="AF312" i="1" s="1"/>
  <c r="AF313" i="1" s="1"/>
  <c r="AF314" i="1" s="1"/>
  <c r="AF315" i="1" s="1"/>
  <c r="AF316" i="1" s="1"/>
  <c r="AF317" i="1" s="1"/>
  <c r="AF318" i="1" s="1"/>
  <c r="AF319" i="1" s="1"/>
  <c r="AF320" i="1" s="1"/>
  <c r="AF321" i="1" s="1"/>
  <c r="AF322" i="1" s="1"/>
  <c r="AF323" i="1" s="1"/>
  <c r="AF324" i="1" s="1"/>
  <c r="AF325" i="1" s="1"/>
  <c r="AF326" i="1" s="1"/>
  <c r="AF327" i="1" s="1"/>
  <c r="AF328" i="1" s="1"/>
  <c r="AF329" i="1" s="1"/>
  <c r="AF330" i="1" s="1"/>
  <c r="AF331" i="1" s="1"/>
  <c r="AF332" i="1" s="1"/>
  <c r="AF333" i="1" s="1"/>
  <c r="AF334" i="1" s="1"/>
  <c r="AF335" i="1" s="1"/>
  <c r="AF336" i="1" s="1"/>
  <c r="AF337" i="1" s="1"/>
  <c r="AF338" i="1" s="1"/>
  <c r="AF339" i="1" s="1"/>
  <c r="AF340" i="1" s="1"/>
  <c r="AF341" i="1" s="1"/>
  <c r="AF342" i="1" s="1"/>
  <c r="AF343" i="1" s="1"/>
  <c r="AF344" i="1" s="1"/>
  <c r="AF345" i="1" s="1"/>
  <c r="AF346" i="1" s="1"/>
  <c r="AF347" i="1" s="1"/>
  <c r="AF348" i="1" s="1"/>
  <c r="AF349" i="1" s="1"/>
  <c r="AF350" i="1" s="1"/>
  <c r="AF351" i="1" s="1"/>
  <c r="AF352" i="1" s="1"/>
  <c r="AF353" i="1" s="1"/>
  <c r="AF354" i="1" s="1"/>
  <c r="AF355" i="1" s="1"/>
  <c r="AF356" i="1" s="1"/>
  <c r="AF357" i="1" s="1"/>
  <c r="AF358" i="1" s="1"/>
  <c r="AF359" i="1" s="1"/>
  <c r="AF360" i="1" s="1"/>
  <c r="AF361" i="1" s="1"/>
  <c r="AF362" i="1" s="1"/>
  <c r="AF363" i="1" s="1"/>
  <c r="AF364" i="1" s="1"/>
  <c r="AF365" i="1" s="1"/>
  <c r="AF366" i="1" s="1"/>
  <c r="AF367" i="1" s="1"/>
  <c r="AF368" i="1" s="1"/>
  <c r="AF369" i="1" s="1"/>
  <c r="AF370" i="1" s="1"/>
  <c r="AF371" i="1" s="1"/>
  <c r="AF372" i="1" s="1"/>
  <c r="AF373" i="1" s="1"/>
  <c r="AF374" i="1" s="1"/>
  <c r="AF375" i="1" s="1"/>
  <c r="AF376" i="1" s="1"/>
  <c r="AF377" i="1" s="1"/>
  <c r="AF378" i="1" s="1"/>
  <c r="AF379" i="1" s="1"/>
  <c r="AF380" i="1" s="1"/>
  <c r="AF381" i="1" s="1"/>
  <c r="AF382" i="1" s="1"/>
  <c r="AF383" i="1" s="1"/>
  <c r="AF384" i="1" s="1"/>
  <c r="AF385" i="1" s="1"/>
  <c r="AF386" i="1" s="1"/>
  <c r="AF387" i="1" s="1"/>
  <c r="AF388" i="1" s="1"/>
  <c r="AF389" i="1" s="1"/>
  <c r="AF390" i="1" s="1"/>
  <c r="AF391" i="1" s="1"/>
  <c r="AF392" i="1" s="1"/>
  <c r="AF393" i="1" s="1"/>
  <c r="AF394" i="1" s="1"/>
  <c r="AF395" i="1" s="1"/>
  <c r="AF396" i="1" s="1"/>
  <c r="AF397" i="1" s="1"/>
  <c r="AF398" i="1" s="1"/>
  <c r="AF399" i="1" s="1"/>
  <c r="AF400" i="1" s="1"/>
  <c r="AF401" i="1" s="1"/>
  <c r="AF402" i="1" s="1"/>
  <c r="AF403" i="1" s="1"/>
  <c r="AF404" i="1" s="1"/>
  <c r="AF405" i="1" s="1"/>
  <c r="AF406" i="1" s="1"/>
  <c r="AF407" i="1" s="1"/>
  <c r="AF408" i="1" s="1"/>
  <c r="AF409" i="1" s="1"/>
  <c r="AF410" i="1" s="1"/>
  <c r="AF411" i="1" s="1"/>
  <c r="AF412" i="1" s="1"/>
  <c r="AF413" i="1" s="1"/>
  <c r="AF414" i="1" s="1"/>
  <c r="AF415" i="1" s="1"/>
  <c r="AF416" i="1" s="1"/>
  <c r="AF417" i="1" s="1"/>
  <c r="AF418" i="1" s="1"/>
  <c r="AF419" i="1" s="1"/>
  <c r="AF420" i="1" s="1"/>
  <c r="AF421" i="1" s="1"/>
  <c r="AF422" i="1" s="1"/>
  <c r="AF423" i="1" s="1"/>
  <c r="AF424" i="1" s="1"/>
  <c r="AF425" i="1" s="1"/>
  <c r="AF426" i="1" s="1"/>
  <c r="AF427" i="1" s="1"/>
  <c r="AF428" i="1" s="1"/>
  <c r="AF429" i="1" s="1"/>
  <c r="AF430" i="1" s="1"/>
  <c r="AF431" i="1" s="1"/>
  <c r="AF432" i="1" s="1"/>
  <c r="AF433" i="1" s="1"/>
  <c r="AF434" i="1" s="1"/>
  <c r="AF435" i="1" s="1"/>
  <c r="AF436" i="1" s="1"/>
  <c r="AF437" i="1" s="1"/>
  <c r="AF438" i="1" s="1"/>
  <c r="AF439" i="1" s="1"/>
  <c r="AF440" i="1" s="1"/>
  <c r="AF441" i="1" s="1"/>
  <c r="AF442" i="1" s="1"/>
  <c r="AF443" i="1" s="1"/>
  <c r="AF444" i="1" s="1"/>
  <c r="AF445" i="1" s="1"/>
  <c r="AF446" i="1" s="1"/>
  <c r="AF447" i="1" s="1"/>
  <c r="AF448" i="1" s="1"/>
  <c r="AF449" i="1" s="1"/>
  <c r="AF450" i="1" s="1"/>
  <c r="AF451" i="1" s="1"/>
  <c r="AF452" i="1" s="1"/>
  <c r="AF453" i="1" s="1"/>
  <c r="AF454" i="1" s="1"/>
  <c r="AF455" i="1" s="1"/>
  <c r="AF456" i="1" s="1"/>
  <c r="AF457" i="1" s="1"/>
  <c r="AF458" i="1" s="1"/>
  <c r="AF459" i="1" s="1"/>
  <c r="AF248" i="1"/>
  <c r="AF86" i="1"/>
  <c r="AF87" i="1" s="1"/>
  <c r="AF85" i="1"/>
  <c r="P111" i="1"/>
  <c r="O111" i="1"/>
  <c r="H111" i="1"/>
  <c r="F116" i="1" s="1"/>
  <c r="H116" i="1" s="1"/>
  <c r="F118" i="1" s="1"/>
  <c r="H118" i="1" s="1"/>
  <c r="F123" i="1" s="1"/>
  <c r="H123" i="1" s="1"/>
  <c r="F129" i="1" s="1"/>
  <c r="H129" i="1" s="1"/>
  <c r="F134" i="1" s="1"/>
  <c r="H134" i="1" s="1"/>
  <c r="F135" i="1" s="1"/>
  <c r="H135" i="1" s="1"/>
  <c r="F137" i="1" s="1"/>
  <c r="H137" i="1" s="1"/>
  <c r="AF117" i="1"/>
  <c r="AF119" i="1" s="1"/>
  <c r="AF116" i="1"/>
  <c r="P134" i="1"/>
  <c r="O134" i="1"/>
  <c r="AF186" i="1"/>
  <c r="AF187" i="1" s="1"/>
  <c r="AF188" i="1" s="1"/>
  <c r="AF189" i="1" s="1"/>
  <c r="AF190" i="1" s="1"/>
  <c r="AF191" i="1" s="1"/>
  <c r="AF192" i="1" s="1"/>
  <c r="AF193" i="1" s="1"/>
  <c r="AF194" i="1" s="1"/>
  <c r="AF195" i="1" s="1"/>
  <c r="AF196" i="1" s="1"/>
  <c r="AF197" i="1" s="1"/>
  <c r="AF198" i="1" s="1"/>
  <c r="AF199" i="1" s="1"/>
  <c r="AF200" i="1" s="1"/>
  <c r="AF201" i="1" s="1"/>
  <c r="AF202" i="1" s="1"/>
  <c r="AF203" i="1" s="1"/>
  <c r="AF204" i="1" s="1"/>
  <c r="AF205" i="1" s="1"/>
  <c r="AF206" i="1" s="1"/>
  <c r="AF207" i="1" s="1"/>
  <c r="AF208" i="1" s="1"/>
  <c r="AF209" i="1" s="1"/>
  <c r="AF185" i="1"/>
  <c r="K561" i="1"/>
  <c r="O20" i="1"/>
  <c r="K460" i="1"/>
  <c r="O460" i="1" s="1"/>
  <c r="P460" i="1" s="1"/>
  <c r="H6" i="1"/>
  <c r="F8" i="1" s="1"/>
  <c r="H8" i="1" s="1"/>
  <c r="F18" i="1" s="1"/>
  <c r="H18" i="1" s="1"/>
  <c r="F22" i="1" s="1"/>
  <c r="H22" i="1" s="1"/>
  <c r="F23" i="1" s="1"/>
  <c r="H23" i="1" s="1"/>
  <c r="P63" i="1"/>
  <c r="O69" i="1"/>
  <c r="V220" i="1"/>
  <c r="K496" i="1"/>
  <c r="O492" i="1" s="1"/>
  <c r="O139" i="1"/>
  <c r="O101" i="1"/>
  <c r="O127" i="1"/>
</calcChain>
</file>

<file path=xl/sharedStrings.xml><?xml version="1.0" encoding="utf-8"?>
<sst xmlns="http://schemas.openxmlformats.org/spreadsheetml/2006/main" count="589" uniqueCount="189">
  <si>
    <t>Ngày sản xuất</t>
  </si>
  <si>
    <t>Thời gian sản xuất</t>
  </si>
  <si>
    <t>Người phụ trách</t>
  </si>
  <si>
    <t>Lệnh sản xuất</t>
  </si>
  <si>
    <t>Bong keo</t>
  </si>
  <si>
    <t>Ca</t>
  </si>
  <si>
    <t>Tên và thông số kỹ thuật</t>
  </si>
  <si>
    <t>Số lượng nhập</t>
  </si>
  <si>
    <t>ĐVT</t>
  </si>
  <si>
    <t>Tên sản phẩm thực hiện</t>
  </si>
  <si>
    <t>Đạt (bước 1)</t>
  </si>
  <si>
    <t>Hỏng</t>
  </si>
  <si>
    <t>Hao phí(%)</t>
  </si>
  <si>
    <t>Tồn đầu</t>
  </si>
  <si>
    <t>Nhập mới</t>
  </si>
  <si>
    <t>Tồn cuối</t>
  </si>
  <si>
    <t>Do sản xuất</t>
  </si>
  <si>
    <t>Do khâu trước</t>
  </si>
  <si>
    <t>…</t>
  </si>
  <si>
    <t>C1</t>
  </si>
  <si>
    <t>Giang</t>
  </si>
  <si>
    <t>FV/31</t>
  </si>
  <si>
    <t>Tờ bồi hộp HN thường</t>
  </si>
  <si>
    <t>Hộp bia HN</t>
  </si>
  <si>
    <t>F8082/05</t>
  </si>
  <si>
    <t>Tờ bồi hộp khóa TNAP8082</t>
  </si>
  <si>
    <t>Hộp khóa TNAP8082</t>
  </si>
  <si>
    <t>C2</t>
  </si>
  <si>
    <t>Hòa</t>
  </si>
  <si>
    <t>FV/01TĐ</t>
  </si>
  <si>
    <t>Tờ bồi hộp HN thủ đô</t>
  </si>
  <si>
    <t>Hộp bia HN TĐ</t>
  </si>
  <si>
    <t>FSC/07</t>
  </si>
  <si>
    <t>Tờ bồi hộp SC</t>
  </si>
  <si>
    <t>Bế hộp đựng 12 hộp sữa chua vị tự nhiên</t>
  </si>
  <si>
    <t>FSC/03</t>
  </si>
  <si>
    <t>Bế hộp đựng 12 hộp sữa chua việt quất</t>
  </si>
  <si>
    <t>FUNi500/04</t>
  </si>
  <si>
    <t>Tờ bồi hộp UNi500</t>
  </si>
  <si>
    <t>Hộp nước 500 nửa 1</t>
  </si>
  <si>
    <t>Hộp nước 500 nửa 2</t>
  </si>
  <si>
    <t>Bó hộp bia HN</t>
  </si>
  <si>
    <t>FV/32</t>
  </si>
  <si>
    <t>FV/33</t>
  </si>
  <si>
    <t>FX/11</t>
  </si>
  <si>
    <t>Tờ bồi hộp HN xanh</t>
  </si>
  <si>
    <t>Hộp HN xanh</t>
  </si>
  <si>
    <t>BẮc</t>
  </si>
  <si>
    <t>C3</t>
  </si>
  <si>
    <t>4d6n</t>
  </si>
  <si>
    <t>Hộp khóa 704451</t>
  </si>
  <si>
    <t>Fpre/06</t>
  </si>
  <si>
    <t>Tờ bồi hộp Premium sleek</t>
  </si>
  <si>
    <t>Hộp Premium Sleek</t>
  </si>
  <si>
    <t>bắc</t>
  </si>
  <si>
    <t>FNObi/10</t>
  </si>
  <si>
    <t>Tờ bồi hộp Nobilis nguyên bản</t>
  </si>
  <si>
    <t>Nobilis ngyên bản</t>
  </si>
  <si>
    <t>FV/01SL</t>
  </si>
  <si>
    <t>Tờ bồi hộp HN sleek</t>
  </si>
  <si>
    <t>Hộp bia HN sleek</t>
  </si>
  <si>
    <t>N1</t>
  </si>
  <si>
    <t>Funi350/03</t>
  </si>
  <si>
    <t>Tờ bồi hộp Uniaqua 350ml</t>
  </si>
  <si>
    <t>Hộp nước 350</t>
  </si>
  <si>
    <t>N2</t>
  </si>
  <si>
    <t>F2cur/02</t>
  </si>
  <si>
    <t>Tờ bồi hộp 2 củ lạc sleek</t>
  </si>
  <si>
    <t>Hộp 2 củ lạc</t>
  </si>
  <si>
    <t>F2cu/01</t>
  </si>
  <si>
    <t>Tờ bồi xách 2 củ lạc 6keg 1 lit</t>
  </si>
  <si>
    <t>Xách 2 củ lạc 6keg 1 lit</t>
  </si>
  <si>
    <t>FV/34</t>
  </si>
  <si>
    <t>FBH/06</t>
  </si>
  <si>
    <t>Tờ bồi hộp bia hơi 24 lon 500ml</t>
  </si>
  <si>
    <t>Hộp bia hơi 500ml</t>
  </si>
  <si>
    <t>FV/35</t>
  </si>
  <si>
    <t>140 rách sóng</t>
  </si>
  <si>
    <t>mẫu trắng</t>
  </si>
  <si>
    <t>Hao phí</t>
  </si>
  <si>
    <t>Bó hộp bia HN xanh</t>
  </si>
  <si>
    <t>Bó hộp xanh KM</t>
  </si>
  <si>
    <t xml:space="preserve">Bảng tổng hợp </t>
  </si>
  <si>
    <t>Tên sản phẩm</t>
  </si>
  <si>
    <t>Sản lượng</t>
  </si>
  <si>
    <t>Hỏng sx</t>
  </si>
  <si>
    <t>Hỏng khác</t>
  </si>
  <si>
    <t>Hộp bia HN'</t>
  </si>
  <si>
    <t>Hộp bia HN 65 năm</t>
  </si>
  <si>
    <t>Hộp bia HN KM sleek</t>
  </si>
  <si>
    <t>Hộp bia HN Tết</t>
  </si>
  <si>
    <t>Hộp bia HN xanh KM</t>
  </si>
  <si>
    <t>Hộp bia Phú Lâm KM</t>
  </si>
  <si>
    <t>Hộp Hải Phòng</t>
  </si>
  <si>
    <t>Hộp Starvin Chill</t>
  </si>
  <si>
    <t>Hộp HN xanh'</t>
  </si>
  <si>
    <t xml:space="preserve">Hộp Trúc Bạch </t>
  </si>
  <si>
    <t>Hộp bia HN XK Đài Loan</t>
  </si>
  <si>
    <t>Hộp Thanh Hoa 24 lon</t>
  </si>
  <si>
    <t>Hộp Thabrew 24 lon</t>
  </si>
  <si>
    <t>Hộp Thaber 24 lon</t>
  </si>
  <si>
    <t>Hộp Thanh Hoa 24 lon Tết VT</t>
  </si>
  <si>
    <t>Hộp Thabrew 24 lon CMNM</t>
  </si>
  <si>
    <t>Hộp Haro premium beer</t>
  </si>
  <si>
    <t>Bế hộp bia HN Phú Lâm 24 lon</t>
  </si>
  <si>
    <t>Bế hộp bia HN Phú Lâm 24 lon Tết</t>
  </si>
  <si>
    <t>Hộp Thabrew 12 lon</t>
  </si>
  <si>
    <t>Hộp Thanh Hoa Tết 12 lon</t>
  </si>
  <si>
    <t>Hộp premium</t>
  </si>
  <si>
    <t>Hộp bia Premium KM sleek</t>
  </si>
  <si>
    <t>Bế hộp TRB- HN sleek</t>
  </si>
  <si>
    <t>Bế hộp Hải Phòng</t>
  </si>
  <si>
    <t>Bế hộp TRB- 2 củ lạc</t>
  </si>
  <si>
    <t>Bế hộp TRB- HN</t>
  </si>
  <si>
    <t>Bế hộp TRB- HN xanh</t>
  </si>
  <si>
    <t>Bế hộp TRB- HN xanh vàng tết</t>
  </si>
  <si>
    <t>Bế hộp TRB- Premium sleek</t>
  </si>
  <si>
    <t>Bế hộp TRB- Trúc BẠch sleek</t>
  </si>
  <si>
    <t>Hộp bia hơi 500ml Tết</t>
  </si>
  <si>
    <t>Hộp bia Hn 500ml XK Nga</t>
  </si>
  <si>
    <t>Hộp bia hơi 12lon 500ml</t>
  </si>
  <si>
    <t>Tấm đậy két bia TB</t>
  </si>
  <si>
    <t>Hộp khóa TNAP8082 1 bat</t>
  </si>
  <si>
    <t>Hộp Trúc Bạch Sleek  Tết</t>
  </si>
  <si>
    <t>Hộp Trúc Bạch Sleek  Tết thủ đô</t>
  </si>
  <si>
    <t xml:space="preserve">Hộp Trúc Bạch Sleek </t>
  </si>
  <si>
    <t>Hộp Bold Sleek</t>
  </si>
  <si>
    <t>Hộp Light Sleek</t>
  </si>
  <si>
    <t>Hộp TRB- HN</t>
  </si>
  <si>
    <t>Hộp TRB- HN xanh</t>
  </si>
  <si>
    <t>Hộp TRB- HN xanh vàng Tết</t>
  </si>
  <si>
    <t>Tấm đậy két bia Light</t>
  </si>
  <si>
    <t>Hộp đựng nhãn</t>
  </si>
  <si>
    <t>Hộp khóa EX7044AP</t>
  </si>
  <si>
    <t>Hộp khóa 7044-10</t>
  </si>
  <si>
    <t>Xách Trúc Bạch craft</t>
  </si>
  <si>
    <t>Xách Trúc Bạch craft Tết</t>
  </si>
  <si>
    <t>Xách 6 chai Hà Thành</t>
  </si>
  <si>
    <t>Xách 6 chai Cool</t>
  </si>
  <si>
    <t>Cầu lót</t>
  </si>
  <si>
    <t>Hộp Thabrew Silver Green</t>
  </si>
  <si>
    <t>Xách 12 lon 500ml</t>
  </si>
  <si>
    <t>Xách 6 lon HN vàng</t>
  </si>
  <si>
    <t>Xách 6 lon Premium sleek</t>
  </si>
  <si>
    <t>Hộp A1</t>
  </si>
  <si>
    <t>Xách 6 lon Stavin Chill Tết</t>
  </si>
  <si>
    <t>Hộp super cap</t>
  </si>
  <si>
    <t>Đếm, bó hộp khoá máy TĐ</t>
  </si>
  <si>
    <t>Hộp bia Premium XK ML</t>
  </si>
  <si>
    <t>Hộp bia 1890 XK</t>
  </si>
  <si>
    <t>Hộp bia 450 XK</t>
  </si>
  <si>
    <t>Hộp Revotec</t>
  </si>
  <si>
    <t>Cầu hộp Pre XK</t>
  </si>
  <si>
    <t>Lót hộp Pre XK</t>
  </si>
  <si>
    <t>Bế hộp TRB- Premium Sleek</t>
  </si>
  <si>
    <t>Khay partition box moon cake</t>
  </si>
  <si>
    <t>Bóc, bó khay Partition box moon cake</t>
  </si>
  <si>
    <t>Đếm xếp kệ khay bánh</t>
  </si>
  <si>
    <t>Khay Trung thu TC 4 bánh</t>
  </si>
  <si>
    <t>Bóc, bó khay TT 4 bánh</t>
  </si>
  <si>
    <t>Đếm xếp kệ khay TT 4 bánh</t>
  </si>
  <si>
    <t>Hộp bia Premium XK fusan</t>
  </si>
  <si>
    <t>Hộp Premium Sleek VT</t>
  </si>
  <si>
    <t>Bìa đèn lồng susu hero</t>
  </si>
  <si>
    <t>Bóc, xếp đèn lồng susu hero</t>
  </si>
  <si>
    <t>Hộp 20 lon 2 củ lạc Tết</t>
  </si>
  <si>
    <t>Cầu xách craft</t>
  </si>
  <si>
    <t>Bonus Trap 24in CAM</t>
  </si>
  <si>
    <t>Hộp TRB- Thanh Hoá</t>
  </si>
  <si>
    <t>Hộp Bubble baby</t>
  </si>
  <si>
    <t>Bế hộp đựng 12 hộp sữa chua vị dứa</t>
  </si>
  <si>
    <t>Bế hộp đựng 12 hộp sữa chua kem</t>
  </si>
  <si>
    <t>Bế hộp đựng 12 hộp sữa chua matcha</t>
  </si>
  <si>
    <t>Bế hộp đựng 12 hộp sữa chua sầu riêng</t>
  </si>
  <si>
    <t>Bế hộp thú mắt to</t>
  </si>
  <si>
    <t>Bế hộp thú Squishy vui nhộn</t>
  </si>
  <si>
    <t>Hộp 8 lon Capital</t>
  </si>
  <si>
    <t>Xách 330ml capital</t>
  </si>
  <si>
    <t>Hộp Sagreen 4lon 2 lít</t>
  </si>
  <si>
    <t>Nobilis ngyên bản world cup</t>
  </si>
  <si>
    <t>Nobilis chill nhẹ</t>
  </si>
  <si>
    <t>Nobilis chanh</t>
  </si>
  <si>
    <t>Hộp Trúc Bạch XK</t>
  </si>
  <si>
    <t>Hộp pilsner 330ml</t>
  </si>
  <si>
    <t>Hộp Silver 330ml</t>
  </si>
  <si>
    <t>Hộp Lager 330ml</t>
  </si>
  <si>
    <t>Hộp Black 330ml</t>
  </si>
  <si>
    <t>Hộp Navy 330ml</t>
  </si>
  <si>
    <t>Hộp Tab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</si>
</sst>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mm/dd/yy;@"/>
    <numFmt numFmtId="165" formatCode="_-* #,##0.00\ _₫_-;\-* #,##0.00\ _₫_-;_-* &quot;-&quot;??\ _₫_-;_-@_-"/>
    <numFmt numFmtId="166" formatCode="_-* #,##0\ _₫_-;\-* #,##0\ _₫_-;_-* &quot;-&quot;??\ _₫_-;_-@_-"/>
    <numFmt numFmtId="167" formatCode="[$-1010000]d/m/yy;@"/>
  </numFmts>
  <fonts count="16" x14ac:knownFonts="1">
    <font>
      <sz val="10"/>
      <name val="Arial"/>
      <charset val="163"/>
    </font>
    <font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b/>
      <sz val="13"/>
      <color rgb="FFFF0000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b/>
      <i/>
      <sz val="13"/>
      <name val="Times New Roman"/>
      <family val="1"/>
      <charset val="163"/>
    </font>
    <font>
      <b/>
      <i/>
      <sz val="13"/>
      <color rgb="FFFF0000"/>
      <name val="Times New Roman"/>
      <family val="1"/>
    </font>
    <font>
      <b/>
      <sz val="11"/>
      <name val="Times New Roman"/>
      <family val="1"/>
      <charset val="163"/>
    </font>
    <font>
      <b/>
      <sz val="13"/>
      <color indexed="10"/>
      <name val="Times New Roman"/>
      <family val="1"/>
    </font>
    <font>
      <b/>
      <sz val="13"/>
      <color theme="1"/>
      <name val="Times New Roman"/>
      <family val="1"/>
      <charset val="163"/>
    </font>
    <font>
      <b/>
      <sz val="13"/>
      <name val="Times New Roman"/>
      <family val="1"/>
    </font>
    <font>
      <b/>
      <sz val="11"/>
      <color theme="1"/>
      <name val="Times New Roman"/>
      <family val="1"/>
      <charset val="163"/>
    </font>
    <font>
      <b/>
      <sz val="13"/>
      <color indexed="10"/>
      <name val="Times New Roman"/>
      <family val="1"/>
      <charset val="163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176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right" vertical="center"/>
    </xf>
    <xf numFmtId="166" fontId="1" fillId="2" borderId="0" xfId="1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65" fontId="1" fillId="2" borderId="0" xfId="1" applyFont="1" applyFill="1" applyAlignment="1">
      <alignment vertical="center"/>
    </xf>
    <xf numFmtId="166" fontId="1" fillId="2" borderId="0" xfId="1" applyNumberFormat="1" applyFont="1" applyFill="1" applyAlignment="1">
      <alignment vertical="center"/>
    </xf>
    <xf numFmtId="167" fontId="5" fillId="2" borderId="0" xfId="0" applyNumberFormat="1" applyFont="1" applyFill="1"/>
    <xf numFmtId="0" fontId="6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166" fontId="7" fillId="2" borderId="1" xfId="1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6" fontId="1" fillId="2" borderId="0" xfId="1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65" fontId="1" fillId="2" borderId="0" xfId="1" applyFont="1" applyFill="1"/>
    <xf numFmtId="166" fontId="1" fillId="2" borderId="0" xfId="1" applyNumberFormat="1" applyFont="1" applyFill="1"/>
    <xf numFmtId="0" fontId="2" fillId="2" borderId="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/>
    </xf>
    <xf numFmtId="1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6" fontId="3" fillId="2" borderId="1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166" fontId="2" fillId="2" borderId="0" xfId="1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0" xfId="1" applyFont="1" applyFill="1"/>
    <xf numFmtId="166" fontId="2" fillId="2" borderId="0" xfId="1" applyNumberFormat="1" applyFont="1" applyFill="1"/>
    <xf numFmtId="14" fontId="1" fillId="2" borderId="1" xfId="0" quotePrefix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3" fontId="1" fillId="2" borderId="1" xfId="0" applyNumberFormat="1" applyFont="1" applyFill="1" applyBorder="1"/>
    <xf numFmtId="3" fontId="1" fillId="2" borderId="1" xfId="0" applyNumberFormat="1" applyFont="1" applyFill="1" applyBorder="1" applyAlignment="1">
      <alignment horizontal="center"/>
    </xf>
    <xf numFmtId="4" fontId="8" fillId="2" borderId="2" xfId="2" applyNumberFormat="1" applyFont="1" applyFill="1" applyBorder="1" applyAlignment="1">
      <alignment horizontal="left" vertical="center" wrapText="1"/>
    </xf>
    <xf numFmtId="166" fontId="3" fillId="2" borderId="1" xfId="1" applyNumberFormat="1" applyFont="1" applyFill="1" applyBorder="1" applyAlignment="1"/>
    <xf numFmtId="0" fontId="1" fillId="2" borderId="1" xfId="0" applyFont="1" applyFill="1" applyBorder="1" applyAlignment="1">
      <alignment horizontal="right"/>
    </xf>
    <xf numFmtId="165" fontId="2" fillId="2" borderId="0" xfId="1" applyNumberFormat="1" applyFont="1" applyFill="1"/>
    <xf numFmtId="0" fontId="1" fillId="2" borderId="0" xfId="0" applyFont="1" applyFill="1" applyAlignment="1">
      <alignment horizontal="center"/>
    </xf>
    <xf numFmtId="14" fontId="1" fillId="2" borderId="1" xfId="0" quotePrefix="1" applyNumberFormat="1" applyFont="1" applyFill="1" applyBorder="1"/>
    <xf numFmtId="166" fontId="9" fillId="2" borderId="1" xfId="3" applyNumberFormat="1" applyFont="1" applyFill="1" applyBorder="1"/>
    <xf numFmtId="166" fontId="3" fillId="3" borderId="1" xfId="3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165" fontId="1" fillId="2" borderId="0" xfId="1" applyFont="1" applyFill="1" applyAlignment="1">
      <alignment horizontal="center"/>
    </xf>
    <xf numFmtId="166" fontId="1" fillId="2" borderId="0" xfId="1" applyNumberFormat="1" applyFont="1" applyFill="1" applyAlignment="1">
      <alignment horizontal="center"/>
    </xf>
    <xf numFmtId="3" fontId="1" fillId="2" borderId="1" xfId="0" applyNumberFormat="1" applyFont="1" applyFill="1" applyBorder="1" applyAlignment="1">
      <alignment horizontal="right"/>
    </xf>
    <xf numFmtId="166" fontId="3" fillId="2" borderId="1" xfId="3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/>
    </xf>
    <xf numFmtId="4" fontId="8" fillId="5" borderId="2" xfId="2" applyNumberFormat="1" applyFont="1" applyFill="1" applyBorder="1" applyAlignment="1">
      <alignment vertical="center" wrapText="1"/>
    </xf>
    <xf numFmtId="165" fontId="5" fillId="2" borderId="1" xfId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3" fontId="10" fillId="2" borderId="9" xfId="2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/>
    <xf numFmtId="3" fontId="3" fillId="3" borderId="1" xfId="0" applyNumberFormat="1" applyFont="1" applyFill="1" applyBorder="1" applyAlignment="1"/>
    <xf numFmtId="4" fontId="8" fillId="2" borderId="1" xfId="2" applyNumberFormat="1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/>
    </xf>
    <xf numFmtId="165" fontId="2" fillId="4" borderId="0" xfId="1" applyFont="1" applyFill="1"/>
    <xf numFmtId="165" fontId="2" fillId="4" borderId="0" xfId="1" applyNumberFormat="1" applyFont="1" applyFill="1"/>
    <xf numFmtId="164" fontId="1" fillId="4" borderId="0" xfId="0" applyNumberFormat="1" applyFont="1" applyFill="1" applyAlignment="1">
      <alignment horizontal="right"/>
    </xf>
    <xf numFmtId="0" fontId="1" fillId="4" borderId="0" xfId="0" applyFont="1" applyFill="1"/>
    <xf numFmtId="166" fontId="1" fillId="4" borderId="0" xfId="1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5" fontId="1" fillId="4" borderId="0" xfId="1" applyFont="1" applyFill="1"/>
    <xf numFmtId="166" fontId="1" fillId="4" borderId="0" xfId="1" applyNumberFormat="1" applyFont="1" applyFill="1"/>
    <xf numFmtId="166" fontId="3" fillId="6" borderId="1" xfId="1" applyNumberFormat="1" applyFont="1" applyFill="1" applyBorder="1" applyAlignment="1">
      <alignment horizontal="right"/>
    </xf>
    <xf numFmtId="165" fontId="5" fillId="2" borderId="0" xfId="1" applyFont="1" applyFill="1"/>
    <xf numFmtId="3" fontId="3" fillId="3" borderId="1" xfId="0" applyNumberFormat="1" applyFont="1" applyFill="1" applyBorder="1" applyAlignment="1">
      <alignment horizontal="right"/>
    </xf>
    <xf numFmtId="3" fontId="3" fillId="6" borderId="1" xfId="0" applyNumberFormat="1" applyFont="1" applyFill="1" applyBorder="1" applyAlignment="1"/>
    <xf numFmtId="0" fontId="1" fillId="2" borderId="1" xfId="0" applyFont="1" applyFill="1" applyBorder="1" applyAlignment="1">
      <alignment horizontal="center" wrapText="1"/>
    </xf>
    <xf numFmtId="166" fontId="3" fillId="3" borderId="1" xfId="1" applyNumberFormat="1" applyFont="1" applyFill="1" applyBorder="1" applyAlignment="1"/>
    <xf numFmtId="0" fontId="1" fillId="2" borderId="1" xfId="0" applyFont="1" applyFill="1" applyBorder="1" applyAlignment="1">
      <alignment horizontal="right" wrapText="1"/>
    </xf>
    <xf numFmtId="166" fontId="3" fillId="6" borderId="1" xfId="1" applyNumberFormat="1" applyFont="1" applyFill="1" applyBorder="1" applyAlignment="1"/>
    <xf numFmtId="166" fontId="3" fillId="7" borderId="1" xfId="1" applyNumberFormat="1" applyFont="1" applyFill="1" applyBorder="1" applyAlignment="1"/>
    <xf numFmtId="3" fontId="3" fillId="7" borderId="1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3" fontId="3" fillId="8" borderId="1" xfId="0" applyNumberFormat="1" applyFont="1" applyFill="1" applyBorder="1" applyAlignment="1">
      <alignment horizontal="right"/>
    </xf>
    <xf numFmtId="3" fontId="3" fillId="9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165" fontId="2" fillId="8" borderId="0" xfId="1" applyFont="1" applyFill="1"/>
    <xf numFmtId="165" fontId="2" fillId="8" borderId="0" xfId="1" applyNumberFormat="1" applyFont="1" applyFill="1"/>
    <xf numFmtId="166" fontId="9" fillId="8" borderId="1" xfId="1" applyNumberFormat="1" applyFont="1" applyFill="1" applyBorder="1" applyAlignment="1">
      <alignment horizontal="right"/>
    </xf>
    <xf numFmtId="0" fontId="1" fillId="8" borderId="0" xfId="0" applyFont="1" applyFill="1"/>
    <xf numFmtId="166" fontId="1" fillId="8" borderId="0" xfId="1" applyNumberFormat="1" applyFont="1" applyFill="1" applyAlignment="1">
      <alignment horizontal="right"/>
    </xf>
    <xf numFmtId="0" fontId="1" fillId="8" borderId="0" xfId="0" applyFont="1" applyFill="1" applyAlignment="1">
      <alignment horizontal="right"/>
    </xf>
    <xf numFmtId="165" fontId="1" fillId="8" borderId="0" xfId="1" applyFont="1" applyFill="1"/>
    <xf numFmtId="166" fontId="1" fillId="8" borderId="0" xfId="1" applyNumberFormat="1" applyFont="1" applyFill="1"/>
    <xf numFmtId="166" fontId="9" fillId="8" borderId="0" xfId="1" applyNumberFormat="1" applyFont="1" applyFill="1" applyBorder="1" applyAlignment="1">
      <alignment horizontal="right"/>
    </xf>
    <xf numFmtId="166" fontId="9" fillId="2" borderId="0" xfId="1" applyNumberFormat="1" applyFont="1" applyFill="1" applyBorder="1"/>
    <xf numFmtId="166" fontId="1" fillId="2" borderId="0" xfId="0" applyNumberFormat="1" applyFont="1" applyFill="1" applyAlignment="1">
      <alignment horizontal="right"/>
    </xf>
    <xf numFmtId="166" fontId="3" fillId="2" borderId="1" xfId="0" applyNumberFormat="1" applyFont="1" applyFill="1" applyBorder="1" applyAlignment="1">
      <alignment horizontal="right"/>
    </xf>
    <xf numFmtId="166" fontId="3" fillId="2" borderId="1" xfId="1" applyNumberFormat="1" applyFont="1" applyFill="1" applyBorder="1"/>
    <xf numFmtId="0" fontId="1" fillId="2" borderId="1" xfId="0" applyFont="1" applyFill="1" applyBorder="1" applyAlignment="1">
      <alignment vertical="center" wrapText="1"/>
    </xf>
    <xf numFmtId="164" fontId="1" fillId="8" borderId="0" xfId="0" applyNumberFormat="1" applyFont="1" applyFill="1" applyAlignment="1">
      <alignment horizontal="right"/>
    </xf>
    <xf numFmtId="165" fontId="1" fillId="8" borderId="0" xfId="1" applyFont="1" applyFill="1" applyAlignment="1">
      <alignment horizontal="center"/>
    </xf>
    <xf numFmtId="166" fontId="1" fillId="8" borderId="0" xfId="1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3" fontId="12" fillId="2" borderId="2" xfId="4" applyNumberFormat="1" applyFont="1" applyFill="1" applyBorder="1" applyAlignment="1">
      <alignment horizontal="left" vertical="center" wrapText="1"/>
    </xf>
    <xf numFmtId="3" fontId="1" fillId="2" borderId="0" xfId="0" applyNumberFormat="1" applyFont="1" applyFill="1" applyBorder="1" applyAlignment="1">
      <alignment horizontal="right"/>
    </xf>
    <xf numFmtId="4" fontId="8" fillId="2" borderId="1" xfId="2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165" fontId="2" fillId="3" borderId="0" xfId="1" applyFont="1" applyFill="1"/>
    <xf numFmtId="165" fontId="2" fillId="3" borderId="0" xfId="1" applyNumberFormat="1" applyFont="1" applyFill="1"/>
    <xf numFmtId="164" fontId="1" fillId="3" borderId="0" xfId="0" applyNumberFormat="1" applyFont="1" applyFill="1" applyAlignment="1">
      <alignment horizontal="right"/>
    </xf>
    <xf numFmtId="0" fontId="1" fillId="3" borderId="0" xfId="0" applyFont="1" applyFill="1"/>
    <xf numFmtId="166" fontId="1" fillId="3" borderId="0" xfId="1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165" fontId="1" fillId="3" borderId="0" xfId="1" applyFont="1" applyFill="1" applyAlignment="1">
      <alignment horizontal="center"/>
    </xf>
    <xf numFmtId="166" fontId="1" fillId="3" borderId="0" xfId="1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6" fontId="3" fillId="4" borderId="1" xfId="1" applyNumberFormat="1" applyFont="1" applyFill="1" applyBorder="1" applyAlignment="1">
      <alignment horizontal="right"/>
    </xf>
    <xf numFmtId="165" fontId="1" fillId="2" borderId="10" xfId="1" applyFont="1" applyFill="1" applyBorder="1" applyAlignment="1">
      <alignment horizontal="center"/>
    </xf>
    <xf numFmtId="0" fontId="1" fillId="2" borderId="1" xfId="0" applyFont="1" applyFill="1" applyBorder="1" applyAlignment="1"/>
    <xf numFmtId="166" fontId="13" fillId="2" borderId="1" xfId="1" applyNumberFormat="1" applyFont="1" applyFill="1" applyBorder="1" applyAlignment="1">
      <alignment horizontal="right"/>
    </xf>
    <xf numFmtId="165" fontId="13" fillId="2" borderId="1" xfId="1" applyFont="1" applyFill="1" applyBorder="1" applyAlignment="1">
      <alignment horizontal="right"/>
    </xf>
    <xf numFmtId="166" fontId="3" fillId="10" borderId="1" xfId="1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center"/>
    </xf>
    <xf numFmtId="14" fontId="1" fillId="3" borderId="1" xfId="0" quotePrefix="1" applyNumberFormat="1" applyFont="1" applyFill="1" applyBorder="1"/>
    <xf numFmtId="3" fontId="5" fillId="2" borderId="1" xfId="0" applyNumberFormat="1" applyFont="1" applyFill="1" applyBorder="1" applyAlignment="1">
      <alignment horizontal="right"/>
    </xf>
    <xf numFmtId="0" fontId="1" fillId="2" borderId="6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wrapText="1"/>
    </xf>
    <xf numFmtId="0" fontId="1" fillId="2" borderId="8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166" fontId="3" fillId="2" borderId="0" xfId="1" applyNumberFormat="1" applyFont="1" applyFill="1" applyAlignment="1">
      <alignment horizontal="right"/>
    </xf>
    <xf numFmtId="3" fontId="1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66" fontId="2" fillId="2" borderId="1" xfId="1" applyNumberFormat="1" applyFont="1" applyFill="1" applyBorder="1" applyAlignment="1">
      <alignment horizontal="right"/>
    </xf>
    <xf numFmtId="43" fontId="1" fillId="2" borderId="0" xfId="0" applyNumberFormat="1" applyFont="1" applyFill="1"/>
    <xf numFmtId="166" fontId="1" fillId="2" borderId="0" xfId="0" applyNumberFormat="1" applyFont="1" applyFill="1"/>
    <xf numFmtId="166" fontId="1" fillId="2" borderId="0" xfId="0" applyNumberFormat="1" applyFon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 applyAlignment="1">
      <alignment horizontal="right"/>
    </xf>
    <xf numFmtId="0" fontId="14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165" fontId="1" fillId="2" borderId="0" xfId="1" applyFont="1" applyFill="1" applyBorder="1" applyAlignment="1">
      <alignment horizontal="right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right" vertical="center"/>
    </xf>
    <xf numFmtId="4" fontId="8" fillId="2" borderId="1" xfId="0" applyNumberFormat="1" applyFont="1" applyFill="1" applyBorder="1" applyAlignment="1">
      <alignment horizontal="left" vertical="center" wrapText="1"/>
    </xf>
    <xf numFmtId="164" fontId="1" fillId="2" borderId="0" xfId="1" applyNumberFormat="1" applyFont="1" applyFill="1" applyAlignment="1">
      <alignment horizontal="right"/>
    </xf>
    <xf numFmtId="165" fontId="1" fillId="2" borderId="0" xfId="0" applyNumberFormat="1" applyFont="1" applyFill="1"/>
    <xf numFmtId="4" fontId="8" fillId="2" borderId="1" xfId="0" applyNumberFormat="1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/>
    </xf>
    <xf numFmtId="14" fontId="1" fillId="2" borderId="0" xfId="0" applyNumberFormat="1" applyFont="1" applyFill="1" applyBorder="1" applyAlignment="1">
      <alignment horizontal="center"/>
    </xf>
    <xf numFmtId="4" fontId="8" fillId="3" borderId="1" xfId="2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5">
    <cellStyle name="Comma" xfId="1" builtinId="3"/>
    <cellStyle name="Comma 2" xfId="3"/>
    <cellStyle name="Comma 5" xfId="4"/>
    <cellStyle name="Normal" xfId="0" builtinId="0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&#7919;%20li&#7879;u%20ch&#7883;%20loan%20c&#361;\Loan%20XNG\TK%202017\S&#7843;n%20l&#432;&#7907;ng%20c&#225;c%20t&#7893;.2017\S&#7843;n%20l&#432;&#7907;ng%20t9.2017\T&#7893;%20b&#7871;%20T9.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datahabecop\Xi%20Nghiep%20In%20Offset\Ha%20Thi%20Loan\Loan-TK\TK%202019\S&#7843;n%20l&#432;&#7907;ng%20c&#225;c%20t&#7893;.2019\S&#7843;n%20l&#432;&#7907;ng%20t4.2019\T&#7893;%20b&#7871;%20T4.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&#7919;%20li&#7879;u%20ch&#7883;%20loan%20c&#361;\Loan%20XNG\TK%202018\S&#7843;n%20l&#432;&#7907;ng%20c&#225;c%20t&#7893;.2018\S&#7843;n%20l&#432;&#7907;ng%20t11.2017\T&#7893;%20b&#7871;%20T11.20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datahabecop\03.%20X&#205;%20NGHI&#7878;P%20S&#7842;N%20XU&#7844;T%20BAO%20B&#204;%20-%20M&#7898;I\01.%20PH&#7840;M%20TH&#7882;%20THU%20H&#431;&#416;NG\H&#431;&#416;NG%20PTT\TK%202024\S&#7843;n%20l&#432;&#7907;ng%20c&#225;c%20t&#7893;%20SX\Th&#225;ng%2010.2024\TO%20X&#7842;%20T11.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Giang"/>
      <sheetName val="L.Huy"/>
      <sheetName val="T.Thắng"/>
      <sheetName val="Cong"/>
      <sheetName val="Tùng"/>
      <sheetName val="Đ.Thắng"/>
      <sheetName val="Dũng"/>
      <sheetName val="Sinh"/>
      <sheetName val="Tân"/>
      <sheetName val="Ngân"/>
      <sheetName val="Nam"/>
      <sheetName val="Hưng"/>
      <sheetName val="N.Nghĩa"/>
      <sheetName val="Đức"/>
      <sheetName val="Huy"/>
      <sheetName val="An"/>
      <sheetName val="Đoàn"/>
      <sheetName val="Tuyên"/>
      <sheetName val="NS Tuần"/>
      <sheetName val="NSCN"/>
      <sheetName val="P.cường"/>
      <sheetName val="Hiếu"/>
      <sheetName val="T Công"/>
      <sheetName val="Thành"/>
      <sheetName val="Nguyên"/>
      <sheetName val="Tuấn"/>
      <sheetName val="Đảo"/>
      <sheetName val="M.Tuấn"/>
      <sheetName val="Ninh"/>
      <sheetName val="Xuân"/>
      <sheetName val="Trinh"/>
      <sheetName val="Quẩy"/>
      <sheetName val="Quyền"/>
      <sheetName val="Trung"/>
    </sheetNames>
    <sheetDataSet>
      <sheetData sheetId="0">
        <row r="78">
          <cell r="I78">
            <v>1050340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Giang"/>
      <sheetName val="L.huy"/>
      <sheetName val="T.Thắng"/>
      <sheetName val="An,"/>
      <sheetName val="Dũng"/>
      <sheetName val="Đ.Thắng"/>
      <sheetName val="Tùng"/>
      <sheetName val="Sinh"/>
      <sheetName val="Nghĩa"/>
      <sheetName val="Tân"/>
      <sheetName val="Công"/>
      <sheetName val="P. huy"/>
      <sheetName val="Ngân"/>
      <sheetName val="NS Tuần"/>
      <sheetName val="NSCN"/>
      <sheetName val="a"/>
      <sheetName val="Đoàn"/>
      <sheetName val="Đức"/>
      <sheetName val="Tuyên"/>
      <sheetName val="Hưng"/>
      <sheetName val="P.cường"/>
      <sheetName val="Hiếu"/>
      <sheetName val="T Công"/>
      <sheetName val="Thành"/>
      <sheetName val="Nguyên"/>
      <sheetName val="Tuấn"/>
      <sheetName val="Đảo"/>
      <sheetName val="M.Tuấn"/>
      <sheetName val="Ninh"/>
      <sheetName val="Xuân"/>
      <sheetName val="Trinh"/>
      <sheetName val="Quẩy"/>
      <sheetName val="Quyền"/>
      <sheetName val="Trung"/>
    </sheetNames>
    <sheetDataSet>
      <sheetData sheetId="0">
        <row r="77">
          <cell r="L77">
            <v>83540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Giang"/>
      <sheetName val="Công"/>
      <sheetName val="L.huy"/>
      <sheetName val="T.Thắng"/>
      <sheetName val="An,"/>
      <sheetName val="Dũng"/>
      <sheetName val="Đ.Thắng"/>
      <sheetName val="Tùng"/>
      <sheetName val="Tân"/>
      <sheetName val="Sinh"/>
      <sheetName val="Nghĩa"/>
      <sheetName val="HiếuX"/>
      <sheetName val="Bắc"/>
      <sheetName val="NS Tuần"/>
      <sheetName val="NSCN"/>
      <sheetName val="a"/>
      <sheetName val="Đoàn"/>
      <sheetName val="Đức"/>
      <sheetName val="Tuyên"/>
      <sheetName val="Hưng"/>
      <sheetName val="P.cường"/>
      <sheetName val="Hiếu"/>
      <sheetName val="T Công"/>
      <sheetName val="Thành"/>
      <sheetName val="Nguyên"/>
      <sheetName val="Tuấn"/>
      <sheetName val="Đảo"/>
      <sheetName val="M.Tuấn"/>
      <sheetName val="Ninh"/>
      <sheetName val="Xuân"/>
      <sheetName val="Trinh"/>
      <sheetName val="Quẩy"/>
      <sheetName val="Quyền"/>
      <sheetName val="Trung"/>
    </sheetNames>
    <sheetDataSet>
      <sheetData sheetId="0">
        <row r="79">
          <cell r="I79">
            <v>1124400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h mục Sản phẩm"/>
      <sheetName val="Sheet2"/>
      <sheetName val="HoàngAnh"/>
      <sheetName val="Dũngchiatờ"/>
      <sheetName val="Vuhoa"/>
      <sheetName val="NSCN"/>
      <sheetName val="TH_VP NQ_dừng máy chủ quan"/>
      <sheetName val="Tổng hợp"/>
      <sheetName val="KÝ hiệu"/>
      <sheetName val="Khung điểm"/>
      <sheetName val="PM.03 CNSX_Hoàng anh"/>
      <sheetName val="BANG ĐMLĐ"/>
      <sheetName val="Tổng hợp thời gian dừng máy"/>
    </sheetNames>
    <sheetDataSet>
      <sheetData sheetId="0">
        <row r="7">
          <cell r="C7" t="str">
            <v>Cột phụ</v>
          </cell>
          <cell r="D7" t="str">
            <v>Mã SP SX</v>
          </cell>
          <cell r="F7" t="str">
            <v>Tên SP SX</v>
          </cell>
          <cell r="G7" t="str">
            <v>Tên SP Định mức</v>
          </cell>
          <cell r="H7" t="str">
            <v>Mã SP Định mức</v>
          </cell>
          <cell r="I7" t="str">
            <v>ĐVT</v>
          </cell>
          <cell r="J7" t="str">
            <v>Máy</v>
          </cell>
          <cell r="K7" t="str">
            <v>Mã hao phí</v>
          </cell>
          <cell r="M7" t="str">
            <v>Tổ/khâu sản xuất</v>
          </cell>
          <cell r="N7" t="str">
            <v>Định biên lao động để chạy mã sản phẩm
(Người)</v>
          </cell>
          <cell r="O7" t="str">
            <v>Định mức sản phẩm/ca sản xuất</v>
          </cell>
          <cell r="P7" t="str">
            <v>Định mức sản phẩm (Sản phẩm/giờ)</v>
          </cell>
          <cell r="Q7" t="str">
            <v>Định mức lao động đầy đủ  (giờ hoặc phút/sản phẩm)</v>
          </cell>
          <cell r="R7" t="str">
            <v>Hệ số quy đổi</v>
          </cell>
        </row>
        <row r="8">
          <cell r="L8" t="str">
            <v>SP hao phí</v>
          </cell>
        </row>
        <row r="9">
          <cell r="F9" t="str">
            <v>Tổ in ống đồng</v>
          </cell>
        </row>
        <row r="10">
          <cell r="C10" t="str">
            <v>In chụp bạc đỏ Máy 3ng</v>
          </cell>
          <cell r="D10">
            <v>101001</v>
          </cell>
          <cell r="E10" t="str">
            <v>Máy 3ng</v>
          </cell>
          <cell r="F10" t="str">
            <v>In chụp bạc đỏ</v>
          </cell>
          <cell r="G10" t="str">
            <v>In chụp bạc</v>
          </cell>
          <cell r="H10" t="str">
            <v>15400709001</v>
          </cell>
          <cell r="I10" t="str">
            <v>1000 m</v>
          </cell>
          <cell r="K10">
            <v>1010403</v>
          </cell>
          <cell r="L10" t="str">
            <v>Chụp bạc 450</v>
          </cell>
          <cell r="M10" t="str">
            <v>Tổ in ống đồng</v>
          </cell>
          <cell r="N10">
            <v>3</v>
          </cell>
          <cell r="O10">
            <v>25.85</v>
          </cell>
          <cell r="P10">
            <v>3.2312500000000002</v>
          </cell>
          <cell r="Q10">
            <v>0.92843326885880073</v>
          </cell>
          <cell r="R10">
            <v>0.27880878944708731</v>
          </cell>
        </row>
        <row r="11">
          <cell r="C11" t="str">
            <v>In nhãn thân 450ml Máy 3ng</v>
          </cell>
          <cell r="D11" t="str">
            <v>101002</v>
          </cell>
          <cell r="E11" t="str">
            <v>Máy 3ng</v>
          </cell>
          <cell r="F11" t="str">
            <v>In nhãn thân 450ml</v>
          </cell>
          <cell r="G11" t="str">
            <v>In nhãn</v>
          </cell>
          <cell r="H11" t="str">
            <v>15400709002</v>
          </cell>
          <cell r="I11" t="str">
            <v>1000 m</v>
          </cell>
          <cell r="K11">
            <v>1010401</v>
          </cell>
          <cell r="L11" t="str">
            <v>Nhãn thân 450</v>
          </cell>
          <cell r="M11" t="str">
            <v>Tổ in ống đồng</v>
          </cell>
          <cell r="N11">
            <v>3</v>
          </cell>
          <cell r="O11">
            <v>25.85</v>
          </cell>
          <cell r="P11">
            <v>3.2312500000000002</v>
          </cell>
          <cell r="Q11">
            <v>0.92843326885880073</v>
          </cell>
          <cell r="R11">
            <v>0.27880878944708731</v>
          </cell>
        </row>
        <row r="12">
          <cell r="C12" t="str">
            <v>In nhãn thân 330 ml Máy 3ng</v>
          </cell>
          <cell r="D12" t="str">
            <v>101003</v>
          </cell>
          <cell r="E12" t="str">
            <v>Máy 3ng</v>
          </cell>
          <cell r="F12" t="str">
            <v>In nhãn thân 330 ml</v>
          </cell>
          <cell r="G12" t="str">
            <v>In nhãn</v>
          </cell>
          <cell r="H12" t="str">
            <v>15400709002</v>
          </cell>
          <cell r="I12" t="str">
            <v>1000 m</v>
          </cell>
          <cell r="K12">
            <v>1010407</v>
          </cell>
          <cell r="L12" t="str">
            <v>Nhãn thân 330</v>
          </cell>
          <cell r="M12" t="str">
            <v>Tổ in ống đồng</v>
          </cell>
          <cell r="N12">
            <v>3</v>
          </cell>
          <cell r="O12">
            <v>25.85</v>
          </cell>
          <cell r="P12">
            <v>3.2312500000000002</v>
          </cell>
          <cell r="Q12">
            <v>0.92843326885880073</v>
          </cell>
          <cell r="R12">
            <v>0.27880878944708731</v>
          </cell>
        </row>
        <row r="13">
          <cell r="C13" t="str">
            <v>In nhãn cổ 330ml Máy 3ng</v>
          </cell>
          <cell r="D13" t="str">
            <v>101004</v>
          </cell>
          <cell r="E13" t="str">
            <v>Máy 3ng</v>
          </cell>
          <cell r="F13" t="str">
            <v>In nhãn cổ 330ml</v>
          </cell>
          <cell r="G13" t="str">
            <v>In nhãn</v>
          </cell>
          <cell r="H13" t="str">
            <v>15400709002</v>
          </cell>
          <cell r="I13" t="str">
            <v>1000 m</v>
          </cell>
          <cell r="K13">
            <v>1010409</v>
          </cell>
          <cell r="L13" t="str">
            <v>Cổ 330</v>
          </cell>
          <cell r="M13" t="str">
            <v>Tổ in ống đồng</v>
          </cell>
          <cell r="N13">
            <v>3</v>
          </cell>
          <cell r="O13">
            <v>25.85</v>
          </cell>
          <cell r="P13">
            <v>3.2312500000000002</v>
          </cell>
          <cell r="Q13">
            <v>0.92843326885880073</v>
          </cell>
          <cell r="R13">
            <v>0.27880878944708731</v>
          </cell>
        </row>
        <row r="14">
          <cell r="C14" t="str">
            <v>In nhãn nhỏ 330 Máy 3ng</v>
          </cell>
          <cell r="D14" t="str">
            <v>101005</v>
          </cell>
          <cell r="E14" t="str">
            <v>Máy 3ng</v>
          </cell>
          <cell r="F14" t="str">
            <v>In nhãn nhỏ 330</v>
          </cell>
          <cell r="G14" t="str">
            <v>In nhãn</v>
          </cell>
          <cell r="H14" t="str">
            <v>15400709002</v>
          </cell>
          <cell r="I14" t="str">
            <v>1000 m</v>
          </cell>
          <cell r="K14">
            <v>1010408</v>
          </cell>
          <cell r="L14" t="str">
            <v>Nhãn lưng 330</v>
          </cell>
          <cell r="M14" t="str">
            <v>Tổ in ống đồng</v>
          </cell>
          <cell r="N14">
            <v>3</v>
          </cell>
          <cell r="O14">
            <v>25.85</v>
          </cell>
          <cell r="P14">
            <v>3.2312500000000002</v>
          </cell>
          <cell r="Q14">
            <v>0.92843326885880073</v>
          </cell>
          <cell r="R14">
            <v>0.27880878944708731</v>
          </cell>
        </row>
        <row r="15">
          <cell r="C15" t="str">
            <v>In nhãn nhỏ 450 Máy 3ng</v>
          </cell>
          <cell r="D15" t="str">
            <v>101006</v>
          </cell>
          <cell r="E15" t="str">
            <v>Máy 3ng</v>
          </cell>
          <cell r="F15" t="str">
            <v>In nhãn nhỏ 450</v>
          </cell>
          <cell r="G15" t="str">
            <v>In nhãn</v>
          </cell>
          <cell r="H15" t="str">
            <v>15400709002</v>
          </cell>
          <cell r="I15" t="str">
            <v>1000 m</v>
          </cell>
          <cell r="K15">
            <v>1010402</v>
          </cell>
          <cell r="L15" t="str">
            <v>Nhãn lưng 450</v>
          </cell>
          <cell r="M15" t="str">
            <v>Tổ in ống đồng</v>
          </cell>
          <cell r="N15">
            <v>3</v>
          </cell>
          <cell r="O15">
            <v>25.85</v>
          </cell>
          <cell r="P15">
            <v>3.2312500000000002</v>
          </cell>
          <cell r="Q15">
            <v>0.92843326885880073</v>
          </cell>
          <cell r="R15">
            <v>0.27880878944708731</v>
          </cell>
        </row>
        <row r="16">
          <cell r="C16" t="str">
            <v>In nhãn thân 1890 Máy 3ng</v>
          </cell>
          <cell r="D16" t="str">
            <v>101007</v>
          </cell>
          <cell r="E16" t="str">
            <v>Máy 3ng</v>
          </cell>
          <cell r="F16" t="str">
            <v>In nhãn thân 1890</v>
          </cell>
          <cell r="G16" t="str">
            <v>In nhãn</v>
          </cell>
          <cell r="H16" t="str">
            <v>15400709002</v>
          </cell>
          <cell r="I16" t="str">
            <v>1000 m</v>
          </cell>
          <cell r="K16">
            <v>1010404</v>
          </cell>
          <cell r="L16" t="str">
            <v>Nhãn thân 1890</v>
          </cell>
          <cell r="M16" t="str">
            <v>Tổ in ống đồng</v>
          </cell>
          <cell r="N16">
            <v>3</v>
          </cell>
          <cell r="O16">
            <v>25.85</v>
          </cell>
          <cell r="P16">
            <v>3.2312500000000002</v>
          </cell>
          <cell r="Q16">
            <v>0.92843326885880073</v>
          </cell>
          <cell r="R16">
            <v>0.27880878944708731</v>
          </cell>
        </row>
        <row r="17">
          <cell r="C17" t="str">
            <v>In nhãn lưng 1890 Máy 3ng</v>
          </cell>
          <cell r="D17" t="str">
            <v>101008</v>
          </cell>
          <cell r="E17" t="str">
            <v>Máy 3ng</v>
          </cell>
          <cell r="F17" t="str">
            <v>In nhãn lưng 1890</v>
          </cell>
          <cell r="G17" t="str">
            <v>In nhãn</v>
          </cell>
          <cell r="H17" t="str">
            <v>15400709002</v>
          </cell>
          <cell r="I17" t="str">
            <v>1000 m</v>
          </cell>
          <cell r="K17">
            <v>1010405</v>
          </cell>
          <cell r="L17" t="str">
            <v>Nhãn lưng 1890</v>
          </cell>
          <cell r="M17" t="str">
            <v>Tổ in ống đồng</v>
          </cell>
          <cell r="N17">
            <v>3</v>
          </cell>
          <cell r="O17">
            <v>25.85</v>
          </cell>
          <cell r="P17">
            <v>3.2312500000000002</v>
          </cell>
          <cell r="Q17">
            <v>0.92843326885880073</v>
          </cell>
          <cell r="R17">
            <v>0.27880878944708731</v>
          </cell>
        </row>
        <row r="18">
          <cell r="C18" t="str">
            <v>Sản phẩm tính lương thời gian Máy in ống đồng</v>
          </cell>
          <cell r="D18" t="str">
            <v>SXSP</v>
          </cell>
          <cell r="E18" t="str">
            <v>Máy in ống đồng</v>
          </cell>
          <cell r="F18" t="str">
            <v>Sản phẩm tính lương thời gian</v>
          </cell>
          <cell r="I18" t="str">
            <v>h</v>
          </cell>
        </row>
        <row r="19">
          <cell r="C19" t="str">
            <v>Vệ sinh máy đầu tuần Máy in ống đồng</v>
          </cell>
          <cell r="D19" t="str">
            <v>VSM</v>
          </cell>
          <cell r="E19" t="str">
            <v>Máy in ống đồng</v>
          </cell>
          <cell r="F19" t="str">
            <v>Vệ sinh máy đầu tuần</v>
          </cell>
          <cell r="I19" t="str">
            <v>h</v>
          </cell>
        </row>
        <row r="20">
          <cell r="C20" t="str">
            <v>Sửa máy Máy in ống đồng</v>
          </cell>
          <cell r="D20" t="str">
            <v>SM</v>
          </cell>
          <cell r="E20" t="str">
            <v>Máy in ống đồng</v>
          </cell>
          <cell r="F20" t="str">
            <v>Sửa máy</v>
          </cell>
          <cell r="I20" t="str">
            <v>h</v>
          </cell>
        </row>
        <row r="21">
          <cell r="C21" t="str">
            <v>Bảo dưỡng máy Máy in ống đồng</v>
          </cell>
          <cell r="D21" t="str">
            <v>BDM</v>
          </cell>
          <cell r="E21" t="str">
            <v>Máy in ống đồng</v>
          </cell>
          <cell r="F21" t="str">
            <v>Bảo dưỡng máy</v>
          </cell>
          <cell r="I21" t="str">
            <v>h</v>
          </cell>
        </row>
        <row r="22">
          <cell r="C22" t="str">
            <v>Công việc khác Máy in ống đồng</v>
          </cell>
          <cell r="D22" t="str">
            <v>CVK</v>
          </cell>
          <cell r="E22" t="str">
            <v>Máy in ống đồng</v>
          </cell>
          <cell r="F22" t="str">
            <v>Công việc khác</v>
          </cell>
          <cell r="I22" t="str">
            <v>h</v>
          </cell>
        </row>
        <row r="23">
          <cell r="C23" t="str">
            <v>Chuẩn bị máy theo định mức Máy in ống đồng</v>
          </cell>
          <cell r="D23" t="str">
            <v>TGĐM</v>
          </cell>
          <cell r="E23" t="str">
            <v>Máy in ống đồng</v>
          </cell>
          <cell r="F23" t="str">
            <v>Chuẩn bị máy theo định mức</v>
          </cell>
          <cell r="I23" t="str">
            <v>h</v>
          </cell>
        </row>
        <row r="24">
          <cell r="C24" t="str">
            <v>Chạy mẫu Máy in ống đồng</v>
          </cell>
          <cell r="D24" t="str">
            <v>CMAU</v>
          </cell>
          <cell r="E24" t="str">
            <v>Máy in ống đồng</v>
          </cell>
          <cell r="F24" t="str">
            <v>Chạy mẫu</v>
          </cell>
          <cell r="I24" t="str">
            <v>h</v>
          </cell>
        </row>
        <row r="25">
          <cell r="C25" t="str">
            <v>Chờ việc Máy in ống đồng</v>
          </cell>
          <cell r="D25" t="str">
            <v>CV</v>
          </cell>
          <cell r="E25" t="str">
            <v>Máy in ống đồng</v>
          </cell>
          <cell r="F25" t="str">
            <v>Chờ việc</v>
          </cell>
          <cell r="I25" t="str">
            <v>h</v>
          </cell>
        </row>
        <row r="26">
          <cell r="F26" t="str">
            <v>Xả</v>
          </cell>
        </row>
        <row r="27">
          <cell r="C27" t="str">
            <v>Duplex 230/650*585 Máy 1ng</v>
          </cell>
          <cell r="D27">
            <v>108001</v>
          </cell>
          <cell r="E27" t="str">
            <v>Máy 1ng</v>
          </cell>
          <cell r="F27" t="str">
            <v>Duplex 230/650*585</v>
          </cell>
          <cell r="G27" t="str">
            <v>Xả giấy</v>
          </cell>
          <cell r="H27" t="str">
            <v>15400710001</v>
          </cell>
          <cell r="I27" t="str">
            <v>Tấn</v>
          </cell>
          <cell r="K27">
            <v>10802</v>
          </cell>
          <cell r="L27" t="str">
            <v>Các loại sản phẩm khác</v>
          </cell>
          <cell r="M27" t="str">
            <v>Xả</v>
          </cell>
          <cell r="N27">
            <v>1</v>
          </cell>
          <cell r="O27">
            <v>3.8500000000000005</v>
          </cell>
          <cell r="P27">
            <v>0.48125000000000007</v>
          </cell>
          <cell r="Q27">
            <v>2.0779220779220777</v>
          </cell>
          <cell r="R27">
            <v>0.62400062400062395</v>
          </cell>
        </row>
        <row r="28">
          <cell r="C28" t="str">
            <v>Duplex 230/890*705 Máy 1ng</v>
          </cell>
          <cell r="D28" t="str">
            <v>108002</v>
          </cell>
          <cell r="E28" t="str">
            <v>Máy 1ng</v>
          </cell>
          <cell r="F28" t="str">
            <v>Duplex 230/890*705</v>
          </cell>
          <cell r="G28" t="str">
            <v>Xả giấy</v>
          </cell>
          <cell r="H28" t="str">
            <v>15400710001</v>
          </cell>
          <cell r="I28" t="str">
            <v>Tấn</v>
          </cell>
          <cell r="K28">
            <v>10802</v>
          </cell>
          <cell r="L28" t="str">
            <v>Các loại sản phẩm khác</v>
          </cell>
          <cell r="M28" t="str">
            <v>Xả</v>
          </cell>
          <cell r="N28">
            <v>1</v>
          </cell>
          <cell r="O28">
            <v>3.8500000000000005</v>
          </cell>
          <cell r="P28">
            <v>0.48125000000000007</v>
          </cell>
          <cell r="Q28">
            <v>2.0779220779220777</v>
          </cell>
          <cell r="R28">
            <v>0.62400062400062395</v>
          </cell>
        </row>
        <row r="29">
          <cell r="C29" t="str">
            <v>Duplex 250/720*760 Máy 1ng</v>
          </cell>
          <cell r="D29" t="str">
            <v>108003</v>
          </cell>
          <cell r="E29" t="str">
            <v>Máy 1ng</v>
          </cell>
          <cell r="F29" t="str">
            <v>Duplex 250/720*760</v>
          </cell>
          <cell r="G29" t="str">
            <v>Xả giấy</v>
          </cell>
          <cell r="H29" t="str">
            <v>15400710001</v>
          </cell>
          <cell r="I29" t="str">
            <v>Tấn</v>
          </cell>
          <cell r="K29">
            <v>10802</v>
          </cell>
          <cell r="L29" t="str">
            <v>Các loại sản phẩm khác</v>
          </cell>
          <cell r="M29" t="str">
            <v>Xả</v>
          </cell>
          <cell r="N29">
            <v>1</v>
          </cell>
          <cell r="O29">
            <v>3.8500000000000005</v>
          </cell>
          <cell r="P29">
            <v>0.48125000000000007</v>
          </cell>
          <cell r="Q29">
            <v>2.0779220779220777</v>
          </cell>
          <cell r="R29">
            <v>0.62400062400062395</v>
          </cell>
        </row>
        <row r="30">
          <cell r="C30" t="str">
            <v>Duplex 230/1.005*530 Máy 1ng</v>
          </cell>
          <cell r="D30" t="str">
            <v>108004</v>
          </cell>
          <cell r="E30" t="str">
            <v>Máy 1ng</v>
          </cell>
          <cell r="F30" t="str">
            <v>Duplex 230/1.005*530</v>
          </cell>
          <cell r="G30" t="str">
            <v>Xả giấy</v>
          </cell>
          <cell r="H30" t="str">
            <v>15400710001</v>
          </cell>
          <cell r="I30" t="str">
            <v>Tấn</v>
          </cell>
          <cell r="K30">
            <v>10802</v>
          </cell>
          <cell r="L30" t="str">
            <v>Các loại sản phẩm khác</v>
          </cell>
          <cell r="M30" t="str">
            <v>Xả</v>
          </cell>
          <cell r="N30">
            <v>1</v>
          </cell>
          <cell r="O30">
            <v>3.8500000000000005</v>
          </cell>
          <cell r="P30">
            <v>0.48125000000000007</v>
          </cell>
          <cell r="Q30">
            <v>2.0779220779220777</v>
          </cell>
          <cell r="R30">
            <v>0.62400062400062395</v>
          </cell>
        </row>
        <row r="31">
          <cell r="C31" t="str">
            <v>Duplex 230/740*541 Máy 1ng</v>
          </cell>
          <cell r="D31" t="str">
            <v>108005</v>
          </cell>
          <cell r="E31" t="str">
            <v>Máy 1ng</v>
          </cell>
          <cell r="F31" t="str">
            <v>Duplex 230/740*541</v>
          </cell>
          <cell r="G31" t="str">
            <v>Xả giấy</v>
          </cell>
          <cell r="H31" t="str">
            <v>15400710001</v>
          </cell>
          <cell r="I31" t="str">
            <v>Tấn</v>
          </cell>
          <cell r="K31">
            <v>10802</v>
          </cell>
          <cell r="L31" t="str">
            <v>Các loại sản phẩm khác</v>
          </cell>
          <cell r="M31" t="str">
            <v>Xả</v>
          </cell>
          <cell r="N31">
            <v>1</v>
          </cell>
          <cell r="O31">
            <v>3.8500000000000005</v>
          </cell>
          <cell r="P31">
            <v>0.48125000000000007</v>
          </cell>
          <cell r="Q31">
            <v>2.0779220779220777</v>
          </cell>
          <cell r="R31">
            <v>0.62400062400062395</v>
          </cell>
        </row>
        <row r="32">
          <cell r="C32" t="str">
            <v>Duplex 230/825*520 Máy 1ng</v>
          </cell>
          <cell r="D32" t="str">
            <v>108006</v>
          </cell>
          <cell r="E32" t="str">
            <v>Máy 1ng</v>
          </cell>
          <cell r="F32" t="str">
            <v>Duplex 230/825*520</v>
          </cell>
          <cell r="G32" t="str">
            <v>Xả giấy</v>
          </cell>
          <cell r="H32" t="str">
            <v>15400710001</v>
          </cell>
          <cell r="I32" t="str">
            <v>Tấn</v>
          </cell>
          <cell r="K32">
            <v>10800</v>
          </cell>
          <cell r="L32" t="str">
            <v>Hộp 24 lon 330ml</v>
          </cell>
          <cell r="M32" t="str">
            <v>Xả</v>
          </cell>
          <cell r="N32">
            <v>1</v>
          </cell>
          <cell r="O32">
            <v>3.8500000000000005</v>
          </cell>
          <cell r="P32">
            <v>0.48125000000000007</v>
          </cell>
          <cell r="Q32">
            <v>2.0779220779220777</v>
          </cell>
          <cell r="R32">
            <v>0.62400062400062395</v>
          </cell>
        </row>
        <row r="33">
          <cell r="C33" t="str">
            <v>Duplex 250/670*503 Máy 1ng</v>
          </cell>
          <cell r="D33" t="str">
            <v>108007</v>
          </cell>
          <cell r="E33" t="str">
            <v>Máy 1ng</v>
          </cell>
          <cell r="F33" t="str">
            <v>Duplex 250/670*503</v>
          </cell>
          <cell r="G33" t="str">
            <v>Xả giấy</v>
          </cell>
          <cell r="H33" t="str">
            <v>15400710001</v>
          </cell>
          <cell r="I33" t="str">
            <v>Tấn</v>
          </cell>
          <cell r="K33">
            <v>10802</v>
          </cell>
          <cell r="L33" t="str">
            <v>Các loại sản phẩm khác</v>
          </cell>
          <cell r="M33" t="str">
            <v>Xả</v>
          </cell>
          <cell r="N33">
            <v>1</v>
          </cell>
          <cell r="O33">
            <v>3.8500000000000005</v>
          </cell>
          <cell r="P33">
            <v>0.48125000000000007</v>
          </cell>
          <cell r="Q33">
            <v>2.0779220779220777</v>
          </cell>
          <cell r="R33">
            <v>0.62400062400062395</v>
          </cell>
        </row>
        <row r="34">
          <cell r="C34" t="str">
            <v>Duplex 300/545*415 Máy 1ng</v>
          </cell>
          <cell r="D34" t="str">
            <v>108008</v>
          </cell>
          <cell r="E34" t="str">
            <v>Máy 1ng</v>
          </cell>
          <cell r="F34" t="str">
            <v>Duplex 300/545*415</v>
          </cell>
          <cell r="G34" t="str">
            <v>Xả giấy</v>
          </cell>
          <cell r="H34" t="str">
            <v>15400710001</v>
          </cell>
          <cell r="I34" t="str">
            <v>Tấn</v>
          </cell>
          <cell r="K34">
            <v>10802</v>
          </cell>
          <cell r="L34" t="str">
            <v>Các loại sản phẩm khác</v>
          </cell>
          <cell r="M34" t="str">
            <v>Xả</v>
          </cell>
          <cell r="N34">
            <v>1</v>
          </cell>
          <cell r="O34">
            <v>3.8500000000000005</v>
          </cell>
          <cell r="P34">
            <v>0.48125000000000007</v>
          </cell>
          <cell r="Q34">
            <v>2.0779220779220777</v>
          </cell>
          <cell r="R34">
            <v>0.62400062400062395</v>
          </cell>
        </row>
        <row r="35">
          <cell r="C35" t="str">
            <v>Duplex 300/545*390 Máy 1ng</v>
          </cell>
          <cell r="D35" t="str">
            <v>108009</v>
          </cell>
          <cell r="E35" t="str">
            <v>Máy 1ng</v>
          </cell>
          <cell r="F35" t="str">
            <v>Duplex 300/545*390</v>
          </cell>
          <cell r="G35" t="str">
            <v>Xả giấy</v>
          </cell>
          <cell r="H35" t="str">
            <v>15400710001</v>
          </cell>
          <cell r="I35" t="str">
            <v>Tấn</v>
          </cell>
          <cell r="K35">
            <v>10802</v>
          </cell>
          <cell r="L35" t="str">
            <v>Các loại sản phẩm khác</v>
          </cell>
          <cell r="M35" t="str">
            <v>Xả</v>
          </cell>
          <cell r="N35">
            <v>1</v>
          </cell>
          <cell r="O35">
            <v>3.8500000000000005</v>
          </cell>
          <cell r="P35">
            <v>0.48125000000000007</v>
          </cell>
          <cell r="Q35">
            <v>2.0779220779220777</v>
          </cell>
          <cell r="R35">
            <v>0.62400062400062395</v>
          </cell>
        </row>
        <row r="36">
          <cell r="C36" t="str">
            <v>Duplex 230/940*595 Máy 1ng</v>
          </cell>
          <cell r="D36" t="str">
            <v>108010</v>
          </cell>
          <cell r="E36" t="str">
            <v>Máy 1ng</v>
          </cell>
          <cell r="F36" t="str">
            <v>Duplex 230/940*595</v>
          </cell>
          <cell r="G36" t="str">
            <v>Xả giấy</v>
          </cell>
          <cell r="H36" t="str">
            <v>15400710001</v>
          </cell>
          <cell r="I36" t="str">
            <v>Tấn</v>
          </cell>
          <cell r="K36">
            <v>10802</v>
          </cell>
          <cell r="L36" t="str">
            <v>Các loại sản phẩm khác</v>
          </cell>
          <cell r="M36" t="str">
            <v>Xả</v>
          </cell>
          <cell r="N36">
            <v>1</v>
          </cell>
          <cell r="O36">
            <v>3.8500000000000005</v>
          </cell>
          <cell r="P36">
            <v>0.48125000000000007</v>
          </cell>
          <cell r="Q36">
            <v>2.0779220779220777</v>
          </cell>
          <cell r="R36">
            <v>0.62400062400062395</v>
          </cell>
        </row>
        <row r="37">
          <cell r="C37" t="str">
            <v>Duplex 250/920*602 Máy 1ng</v>
          </cell>
          <cell r="D37" t="str">
            <v>108011</v>
          </cell>
          <cell r="E37" t="str">
            <v>Máy 1ng</v>
          </cell>
          <cell r="F37" t="str">
            <v>Duplex 250/920*602</v>
          </cell>
          <cell r="G37" t="str">
            <v>Xả giấy</v>
          </cell>
          <cell r="H37" t="str">
            <v>15400710001</v>
          </cell>
          <cell r="I37" t="str">
            <v>Tấn</v>
          </cell>
          <cell r="K37">
            <v>10802</v>
          </cell>
          <cell r="L37" t="str">
            <v>Các loại sản phẩm khác</v>
          </cell>
          <cell r="M37" t="str">
            <v>Xả</v>
          </cell>
          <cell r="N37">
            <v>1</v>
          </cell>
          <cell r="O37">
            <v>3.8500000000000005</v>
          </cell>
          <cell r="P37">
            <v>0.48125000000000007</v>
          </cell>
          <cell r="Q37">
            <v>2.0779220779220777</v>
          </cell>
          <cell r="R37">
            <v>0.62400062400062395</v>
          </cell>
        </row>
        <row r="38">
          <cell r="C38" t="str">
            <v>Duplex 230/825*541 Máy 1ng</v>
          </cell>
          <cell r="D38" t="str">
            <v>108012</v>
          </cell>
          <cell r="E38" t="str">
            <v>Máy 1ng</v>
          </cell>
          <cell r="F38" t="str">
            <v>Duplex 230/825*541</v>
          </cell>
          <cell r="G38" t="str">
            <v>Xả giấy</v>
          </cell>
          <cell r="H38" t="str">
            <v>15400710001</v>
          </cell>
          <cell r="I38" t="str">
            <v>Tấn</v>
          </cell>
          <cell r="K38">
            <v>10800</v>
          </cell>
          <cell r="L38" t="str">
            <v>Hộp 24 lon 330ml</v>
          </cell>
          <cell r="M38" t="str">
            <v>Xả</v>
          </cell>
          <cell r="N38">
            <v>1</v>
          </cell>
          <cell r="O38">
            <v>3.8500000000000005</v>
          </cell>
          <cell r="P38">
            <v>0.48125000000000007</v>
          </cell>
          <cell r="Q38">
            <v>2.0779220779220777</v>
          </cell>
          <cell r="R38">
            <v>0.62400062400062395</v>
          </cell>
        </row>
        <row r="39">
          <cell r="C39" t="str">
            <v>Duplex 230/670*605 Máy 1ng</v>
          </cell>
          <cell r="D39" t="str">
            <v>108013</v>
          </cell>
          <cell r="E39" t="str">
            <v>Máy 1ng</v>
          </cell>
          <cell r="F39" t="str">
            <v>Duplex 230/670*605</v>
          </cell>
          <cell r="G39" t="str">
            <v>Xả giấy</v>
          </cell>
          <cell r="H39" t="str">
            <v>15400710001</v>
          </cell>
          <cell r="I39" t="str">
            <v>Tấn</v>
          </cell>
          <cell r="K39">
            <v>10802</v>
          </cell>
          <cell r="L39" t="str">
            <v>Các loại sản phẩm khác</v>
          </cell>
          <cell r="M39" t="str">
            <v>Xả</v>
          </cell>
          <cell r="N39">
            <v>1</v>
          </cell>
          <cell r="O39">
            <v>3.8500000000000005</v>
          </cell>
          <cell r="P39">
            <v>0.48125000000000007</v>
          </cell>
          <cell r="Q39">
            <v>2.0779220779220777</v>
          </cell>
          <cell r="R39">
            <v>0.62400062400062395</v>
          </cell>
        </row>
        <row r="40">
          <cell r="C40" t="str">
            <v>Duplex 230/790*478 Máy 1ng</v>
          </cell>
          <cell r="D40" t="str">
            <v>108014</v>
          </cell>
          <cell r="E40" t="str">
            <v>Máy 1ng</v>
          </cell>
          <cell r="F40" t="str">
            <v>Duplex 230/790*478</v>
          </cell>
          <cell r="G40" t="str">
            <v>Xả giấy</v>
          </cell>
          <cell r="H40" t="str">
            <v>15400710001</v>
          </cell>
          <cell r="I40" t="str">
            <v>Tấn</v>
          </cell>
          <cell r="K40">
            <v>10802</v>
          </cell>
          <cell r="L40" t="str">
            <v>Các loại sản phẩm khác</v>
          </cell>
          <cell r="M40" t="str">
            <v>Xả</v>
          </cell>
          <cell r="N40">
            <v>1</v>
          </cell>
          <cell r="O40">
            <v>3.8500000000000005</v>
          </cell>
          <cell r="P40">
            <v>0.48125000000000007</v>
          </cell>
          <cell r="Q40">
            <v>2.0779220779220777</v>
          </cell>
          <cell r="R40">
            <v>0.62400062400062395</v>
          </cell>
        </row>
        <row r="41">
          <cell r="C41" t="str">
            <v>Duplex 230/825*541 Máy 1ng</v>
          </cell>
          <cell r="D41" t="str">
            <v>108015</v>
          </cell>
          <cell r="E41" t="str">
            <v>Máy 1ng</v>
          </cell>
          <cell r="F41" t="str">
            <v>Duplex 230/825*541</v>
          </cell>
          <cell r="G41" t="str">
            <v>Xả giấy</v>
          </cell>
          <cell r="H41" t="str">
            <v>15400710001</v>
          </cell>
          <cell r="I41" t="str">
            <v>Tấn</v>
          </cell>
          <cell r="K41">
            <v>10802</v>
          </cell>
          <cell r="L41" t="str">
            <v>Hộp 24 lon 330ml</v>
          </cell>
          <cell r="M41" t="str">
            <v>Xả</v>
          </cell>
          <cell r="N41">
            <v>1</v>
          </cell>
          <cell r="O41">
            <v>3.8500000000000005</v>
          </cell>
          <cell r="P41">
            <v>0.48125000000000007</v>
          </cell>
          <cell r="Q41">
            <v>2.0779220779220777</v>
          </cell>
          <cell r="R41">
            <v>0.62400062400062395</v>
          </cell>
        </row>
        <row r="42">
          <cell r="C42" t="str">
            <v>Duplex 230/680*503 Máy 1ng</v>
          </cell>
          <cell r="D42" t="str">
            <v>108016</v>
          </cell>
          <cell r="E42" t="str">
            <v>Máy 1ng</v>
          </cell>
          <cell r="F42" t="str">
            <v>Duplex 230/680*503</v>
          </cell>
          <cell r="G42" t="str">
            <v>Xả giấy</v>
          </cell>
          <cell r="H42" t="str">
            <v>15400710001</v>
          </cell>
          <cell r="I42" t="str">
            <v>Tấn</v>
          </cell>
          <cell r="K42">
            <v>10802</v>
          </cell>
          <cell r="L42" t="str">
            <v>Các loại sản phẩm khác</v>
          </cell>
          <cell r="M42" t="str">
            <v>Xả</v>
          </cell>
          <cell r="N42">
            <v>1</v>
          </cell>
          <cell r="O42">
            <v>3.8500000000000005</v>
          </cell>
          <cell r="P42">
            <v>0.48125000000000007</v>
          </cell>
          <cell r="Q42">
            <v>2.0779220779220777</v>
          </cell>
          <cell r="R42">
            <v>0.62400062400062395</v>
          </cell>
        </row>
        <row r="43">
          <cell r="C43" t="str">
            <v>Duplex 230/825*545 Máy 1ng</v>
          </cell>
          <cell r="D43" t="str">
            <v>108017</v>
          </cell>
          <cell r="E43" t="str">
            <v>Máy 1ng</v>
          </cell>
          <cell r="F43" t="str">
            <v>Duplex 230/825*545</v>
          </cell>
          <cell r="G43" t="str">
            <v>Xả giấy</v>
          </cell>
          <cell r="H43" t="str">
            <v>15400710001</v>
          </cell>
          <cell r="I43" t="str">
            <v>Tấn</v>
          </cell>
          <cell r="K43">
            <v>10802</v>
          </cell>
          <cell r="L43" t="str">
            <v>Hộp 24 lon 330ml</v>
          </cell>
          <cell r="M43" t="str">
            <v>Xả</v>
          </cell>
          <cell r="N43">
            <v>1</v>
          </cell>
          <cell r="O43">
            <v>3.8500000000000005</v>
          </cell>
          <cell r="P43">
            <v>0.48125000000000007</v>
          </cell>
          <cell r="Q43">
            <v>2.0779220779220777</v>
          </cell>
          <cell r="R43">
            <v>0.62400062400062395</v>
          </cell>
        </row>
        <row r="44">
          <cell r="C44" t="str">
            <v>Sản phẩm tính lương thời gian Máy xả</v>
          </cell>
          <cell r="D44" t="str">
            <v>SXSP</v>
          </cell>
          <cell r="E44" t="str">
            <v>Máy xả</v>
          </cell>
          <cell r="F44" t="str">
            <v>Sản phẩm tính lương thời gian</v>
          </cell>
          <cell r="I44" t="str">
            <v>h</v>
          </cell>
        </row>
        <row r="45">
          <cell r="C45" t="str">
            <v>Vệ sinh máy đầu tuần Máy xả</v>
          </cell>
          <cell r="D45" t="str">
            <v>VSM</v>
          </cell>
          <cell r="E45" t="str">
            <v>Máy xả</v>
          </cell>
          <cell r="F45" t="str">
            <v>Vệ sinh máy đầu tuần</v>
          </cell>
          <cell r="I45" t="str">
            <v>h</v>
          </cell>
        </row>
        <row r="46">
          <cell r="C46" t="str">
            <v>Sửa máy Máy xả</v>
          </cell>
          <cell r="D46" t="str">
            <v>SM</v>
          </cell>
          <cell r="E46" t="str">
            <v>Máy xả</v>
          </cell>
          <cell r="F46" t="str">
            <v>Sửa máy</v>
          </cell>
          <cell r="I46" t="str">
            <v>h</v>
          </cell>
        </row>
        <row r="47">
          <cell r="C47" t="str">
            <v>Bảo dưỡng máy Máy xả</v>
          </cell>
          <cell r="D47" t="str">
            <v>BDM</v>
          </cell>
          <cell r="E47" t="str">
            <v>Máy xả</v>
          </cell>
          <cell r="F47" t="str">
            <v>Bảo dưỡng máy</v>
          </cell>
          <cell r="I47" t="str">
            <v>h</v>
          </cell>
        </row>
        <row r="48">
          <cell r="C48" t="str">
            <v>Công việc khác Máy xả</v>
          </cell>
          <cell r="D48" t="str">
            <v>CVK</v>
          </cell>
          <cell r="E48" t="str">
            <v>Máy xả</v>
          </cell>
          <cell r="F48" t="str">
            <v>Công việc khác</v>
          </cell>
          <cell r="I48" t="str">
            <v>h</v>
          </cell>
        </row>
        <row r="49">
          <cell r="C49" t="str">
            <v>Chuẩn bị máy theo định mức Máy xả</v>
          </cell>
          <cell r="D49" t="str">
            <v>TGĐM</v>
          </cell>
          <cell r="E49" t="str">
            <v>Máy xả</v>
          </cell>
          <cell r="F49" t="str">
            <v>Chuẩn bị máy theo định mức</v>
          </cell>
          <cell r="I49" t="str">
            <v>h</v>
          </cell>
        </row>
        <row r="50">
          <cell r="C50" t="str">
            <v>Chạy mẫu Máy xả</v>
          </cell>
          <cell r="D50" t="str">
            <v>CMAU</v>
          </cell>
          <cell r="E50" t="str">
            <v>Máy xả</v>
          </cell>
          <cell r="F50" t="str">
            <v>Chạy mẫu</v>
          </cell>
          <cell r="I50" t="str">
            <v>h</v>
          </cell>
        </row>
        <row r="51">
          <cell r="C51" t="str">
            <v>Chờ việc Máy xả</v>
          </cell>
          <cell r="D51" t="str">
            <v>CV</v>
          </cell>
          <cell r="E51" t="str">
            <v>Máy xả</v>
          </cell>
          <cell r="F51" t="str">
            <v>Chờ việc</v>
          </cell>
          <cell r="I51" t="str">
            <v>h</v>
          </cell>
        </row>
        <row r="52">
          <cell r="F52" t="str">
            <v>In offset</v>
          </cell>
        </row>
        <row r="53">
          <cell r="C53" t="str">
            <v>Hộp bia HN Máy 3ng</v>
          </cell>
          <cell r="D53">
            <v>100001</v>
          </cell>
          <cell r="E53" t="str">
            <v>Máy 3ng</v>
          </cell>
          <cell r="F53" t="str">
            <v>Hộp bia HN</v>
          </cell>
          <cell r="G53" t="str">
            <v>In hộp (máy 3 người)</v>
          </cell>
          <cell r="H53">
            <v>15400711001</v>
          </cell>
          <cell r="I53" t="str">
            <v>1000 tờ</v>
          </cell>
          <cell r="K53">
            <v>10000</v>
          </cell>
          <cell r="L53" t="str">
            <v>Hộp 24 lon 330ml</v>
          </cell>
          <cell r="M53" t="str">
            <v>Tổ In offset</v>
          </cell>
          <cell r="N53">
            <v>3</v>
          </cell>
          <cell r="O53">
            <v>41.34</v>
          </cell>
          <cell r="P53">
            <v>5.1675000000000004</v>
          </cell>
          <cell r="Q53">
            <v>0.58055152394775034</v>
          </cell>
          <cell r="R53">
            <v>0.17433979698130642</v>
          </cell>
        </row>
        <row r="54">
          <cell r="C54" t="str">
            <v>Hộp bia HN Máy 2ng</v>
          </cell>
          <cell r="D54" t="str">
            <v>100002</v>
          </cell>
          <cell r="E54" t="str">
            <v>Máy 2ng</v>
          </cell>
          <cell r="F54" t="str">
            <v>Hộp bia HN</v>
          </cell>
          <cell r="G54" t="str">
            <v>In hộp (máy 2 người)</v>
          </cell>
          <cell r="H54">
            <v>15400711002</v>
          </cell>
          <cell r="I54" t="str">
            <v>1000 tờ</v>
          </cell>
          <cell r="K54">
            <v>10000</v>
          </cell>
          <cell r="L54" t="str">
            <v>Hộp 24 lon 330ml</v>
          </cell>
          <cell r="M54" t="str">
            <v>Tổ In offset</v>
          </cell>
          <cell r="N54">
            <v>2</v>
          </cell>
          <cell r="O54">
            <v>36.04</v>
          </cell>
          <cell r="P54">
            <v>4.5049999999999999</v>
          </cell>
          <cell r="Q54">
            <v>0.44395116537180912</v>
          </cell>
          <cell r="R54">
            <v>0.13331866827982256</v>
          </cell>
        </row>
        <row r="55">
          <cell r="C55" t="str">
            <v>Hộp bia HN Tết Máy 3ng</v>
          </cell>
          <cell r="D55" t="str">
            <v>100003</v>
          </cell>
          <cell r="E55" t="str">
            <v>Máy 3ng</v>
          </cell>
          <cell r="F55" t="str">
            <v>Hộp bia HN Tết</v>
          </cell>
          <cell r="G55" t="str">
            <v>In hộp (máy 3 người)</v>
          </cell>
          <cell r="H55">
            <v>15400711001</v>
          </cell>
          <cell r="I55" t="str">
            <v>1000 tờ</v>
          </cell>
          <cell r="K55">
            <v>10000</v>
          </cell>
          <cell r="L55" t="str">
            <v>Hộp 24 lon 330ml</v>
          </cell>
          <cell r="M55" t="str">
            <v>Tổ In offset</v>
          </cell>
          <cell r="N55">
            <v>3</v>
          </cell>
          <cell r="O55">
            <v>41.34</v>
          </cell>
          <cell r="P55">
            <v>5.1675000000000004</v>
          </cell>
          <cell r="Q55">
            <v>0.58055152394775034</v>
          </cell>
          <cell r="R55">
            <v>0.17433979698130642</v>
          </cell>
        </row>
        <row r="56">
          <cell r="C56" t="str">
            <v>Hộp bia HN Tết Máy 2ng</v>
          </cell>
          <cell r="D56" t="str">
            <v>100004</v>
          </cell>
          <cell r="E56" t="str">
            <v>Máy 2ng</v>
          </cell>
          <cell r="F56" t="str">
            <v>Hộp bia HN Tết</v>
          </cell>
          <cell r="G56" t="str">
            <v>In hộp (máy 2 người)</v>
          </cell>
          <cell r="H56">
            <v>15400711002</v>
          </cell>
          <cell r="I56" t="str">
            <v>1000 tờ</v>
          </cell>
          <cell r="K56">
            <v>10000</v>
          </cell>
          <cell r="L56" t="str">
            <v>Hộp 24 lon 330ml</v>
          </cell>
          <cell r="M56" t="str">
            <v>Tổ In offset</v>
          </cell>
          <cell r="N56">
            <v>2</v>
          </cell>
          <cell r="O56">
            <v>36.04</v>
          </cell>
          <cell r="P56">
            <v>4.5049999999999999</v>
          </cell>
          <cell r="Q56">
            <v>0.44395116537180912</v>
          </cell>
          <cell r="R56">
            <v>0.13331866827982256</v>
          </cell>
        </row>
        <row r="57">
          <cell r="C57" t="str">
            <v>Hộp HN Viettel Máy 3ng</v>
          </cell>
          <cell r="D57" t="str">
            <v>100005</v>
          </cell>
          <cell r="E57" t="str">
            <v>Máy 3ng</v>
          </cell>
          <cell r="F57" t="str">
            <v>Hộp HN Viettel</v>
          </cell>
          <cell r="G57" t="str">
            <v>In hộp (máy 3 người)</v>
          </cell>
          <cell r="H57">
            <v>15400711001</v>
          </cell>
          <cell r="I57" t="str">
            <v>1000 tờ</v>
          </cell>
          <cell r="K57">
            <v>10000</v>
          </cell>
          <cell r="L57" t="str">
            <v>Hộp 24 lon 330ml</v>
          </cell>
          <cell r="M57" t="str">
            <v>Tổ In offset</v>
          </cell>
          <cell r="N57">
            <v>3</v>
          </cell>
          <cell r="O57">
            <v>41.34</v>
          </cell>
          <cell r="P57">
            <v>5.1675000000000004</v>
          </cell>
          <cell r="Q57">
            <v>0.58055152394775034</v>
          </cell>
          <cell r="R57">
            <v>0.17433979698130642</v>
          </cell>
        </row>
        <row r="58">
          <cell r="C58" t="str">
            <v>Hộp HN Viettel Máy 2ng</v>
          </cell>
          <cell r="D58" t="str">
            <v>100006</v>
          </cell>
          <cell r="E58" t="str">
            <v>Máy 2ng</v>
          </cell>
          <cell r="F58" t="str">
            <v>Hộp HN Viettel</v>
          </cell>
          <cell r="G58" t="str">
            <v>In hộp (máy 2 người)</v>
          </cell>
          <cell r="H58">
            <v>15400711002</v>
          </cell>
          <cell r="I58" t="str">
            <v>1000 tờ</v>
          </cell>
          <cell r="K58">
            <v>10000</v>
          </cell>
          <cell r="L58" t="str">
            <v>Hộp 24 lon 330ml</v>
          </cell>
          <cell r="M58" t="str">
            <v>Tổ In offset</v>
          </cell>
          <cell r="N58">
            <v>2</v>
          </cell>
          <cell r="O58">
            <v>36.04</v>
          </cell>
          <cell r="P58">
            <v>4.5049999999999999</v>
          </cell>
          <cell r="Q58">
            <v>0.44395116537180912</v>
          </cell>
          <cell r="R58">
            <v>0.13331866827982256</v>
          </cell>
        </row>
        <row r="59">
          <cell r="C59" t="str">
            <v>Hộp carton 330ml Máy 3ng</v>
          </cell>
          <cell r="D59" t="str">
            <v>100007</v>
          </cell>
          <cell r="E59" t="str">
            <v>Máy 3ng</v>
          </cell>
          <cell r="F59" t="str">
            <v>Hộp carton 330ml</v>
          </cell>
          <cell r="G59" t="str">
            <v>In hộp (máy 3 người)</v>
          </cell>
          <cell r="H59">
            <v>15400711001</v>
          </cell>
          <cell r="I59" t="str">
            <v>1000 tờ</v>
          </cell>
          <cell r="K59">
            <v>10000</v>
          </cell>
          <cell r="L59" t="str">
            <v>Hộp 24 lon 330ml</v>
          </cell>
          <cell r="M59" t="str">
            <v>Tổ In offset</v>
          </cell>
          <cell r="N59">
            <v>3</v>
          </cell>
          <cell r="O59">
            <v>41.34</v>
          </cell>
          <cell r="P59">
            <v>5.1675000000000004</v>
          </cell>
          <cell r="Q59">
            <v>0.58055152394775034</v>
          </cell>
          <cell r="R59">
            <v>0.17433979698130642</v>
          </cell>
        </row>
        <row r="60">
          <cell r="C60" t="str">
            <v>Hộp carton 330ml Máy 2ng</v>
          </cell>
          <cell r="D60" t="str">
            <v>100008</v>
          </cell>
          <cell r="E60" t="str">
            <v>Máy 2ng</v>
          </cell>
          <cell r="F60" t="str">
            <v>Hộp carton 330ml</v>
          </cell>
          <cell r="G60" t="str">
            <v>In hộp (máy 2 người)</v>
          </cell>
          <cell r="H60">
            <v>15400711002</v>
          </cell>
          <cell r="I60" t="str">
            <v>1000 tờ</v>
          </cell>
          <cell r="K60">
            <v>10000</v>
          </cell>
          <cell r="L60" t="str">
            <v>Hộp 24 lon 330ml</v>
          </cell>
          <cell r="M60" t="str">
            <v>Tổ In offset</v>
          </cell>
          <cell r="N60">
            <v>2</v>
          </cell>
          <cell r="O60">
            <v>36.04</v>
          </cell>
          <cell r="P60">
            <v>4.5049999999999999</v>
          </cell>
          <cell r="Q60">
            <v>0.44395116537180912</v>
          </cell>
          <cell r="R60">
            <v>0.13331866827982256</v>
          </cell>
        </row>
        <row r="61">
          <cell r="C61" t="str">
            <v>Hộp bia HN xuất khẩu Đài Loan Máy 3ng</v>
          </cell>
          <cell r="D61" t="str">
            <v>100009</v>
          </cell>
          <cell r="E61" t="str">
            <v>Máy 3ng</v>
          </cell>
          <cell r="F61" t="str">
            <v>Hộp bia HN xuất khẩu Đài Loan</v>
          </cell>
          <cell r="G61" t="str">
            <v>In các hộp lẻ (máy 3 người)</v>
          </cell>
          <cell r="H61">
            <v>15400711003</v>
          </cell>
          <cell r="I61" t="str">
            <v>1000 tờ</v>
          </cell>
          <cell r="K61">
            <v>10000</v>
          </cell>
          <cell r="L61" t="str">
            <v>Hộp 24 lon 330ml</v>
          </cell>
          <cell r="M61" t="str">
            <v>Tổ In offset</v>
          </cell>
          <cell r="N61">
            <v>3</v>
          </cell>
          <cell r="O61">
            <v>39.75</v>
          </cell>
          <cell r="P61">
            <v>4.96875</v>
          </cell>
          <cell r="Q61">
            <v>0.60377358490566035</v>
          </cell>
          <cell r="R61">
            <v>0.18131338886055867</v>
          </cell>
        </row>
        <row r="62">
          <cell r="C62" t="str">
            <v>Hộp bia HN xuất khẩu Đài Loan Máy 2ng</v>
          </cell>
          <cell r="D62" t="str">
            <v>100010</v>
          </cell>
          <cell r="E62" t="str">
            <v>Máy 2ng</v>
          </cell>
          <cell r="F62" t="str">
            <v>Hộp bia HN xuất khẩu Đài Loan</v>
          </cell>
          <cell r="G62" t="str">
            <v>In các hộp lẻ (máy 2 người)</v>
          </cell>
          <cell r="H62">
            <v>15400711004</v>
          </cell>
          <cell r="I62" t="str">
            <v>1000 tờ</v>
          </cell>
          <cell r="K62">
            <v>10000</v>
          </cell>
          <cell r="L62" t="str">
            <v>Hộp 24 lon 330ml</v>
          </cell>
          <cell r="M62" t="str">
            <v>Tổ In offset</v>
          </cell>
          <cell r="N62">
            <v>2</v>
          </cell>
          <cell r="O62">
            <v>34.980000000000004</v>
          </cell>
          <cell r="P62">
            <v>4.3725000000000005</v>
          </cell>
          <cell r="Q62">
            <v>0.45740423098913657</v>
          </cell>
          <cell r="R62">
            <v>0.13735862792466563</v>
          </cell>
        </row>
        <row r="63">
          <cell r="C63" t="str">
            <v>Hộp bia vàng 65 năm Máy 3ng</v>
          </cell>
          <cell r="D63" t="str">
            <v>100011</v>
          </cell>
          <cell r="E63" t="str">
            <v>Máy 3ng</v>
          </cell>
          <cell r="F63" t="str">
            <v>Hộp bia vàng 65 năm</v>
          </cell>
          <cell r="G63" t="str">
            <v>In các hộp lẻ (máy 3 người)</v>
          </cell>
          <cell r="H63">
            <v>15400711003</v>
          </cell>
          <cell r="I63" t="str">
            <v>1000 tờ</v>
          </cell>
          <cell r="K63">
            <v>10000</v>
          </cell>
          <cell r="L63" t="str">
            <v>Hộp 24 lon 330ml</v>
          </cell>
          <cell r="M63" t="str">
            <v>Tổ In offset</v>
          </cell>
          <cell r="N63">
            <v>3</v>
          </cell>
          <cell r="O63">
            <v>39.75</v>
          </cell>
          <cell r="P63">
            <v>4.96875</v>
          </cell>
          <cell r="Q63">
            <v>0.60377358490566035</v>
          </cell>
          <cell r="R63">
            <v>0.18131338886055867</v>
          </cell>
        </row>
        <row r="64">
          <cell r="C64" t="str">
            <v>Hộp bia vàng 65 năm Máy 2ng</v>
          </cell>
          <cell r="D64" t="str">
            <v>100012</v>
          </cell>
          <cell r="E64" t="str">
            <v>Máy 2ng</v>
          </cell>
          <cell r="F64" t="str">
            <v>Hộp bia vàng 65 năm</v>
          </cell>
          <cell r="G64" t="str">
            <v>In các hộp lẻ (máy 2 người)</v>
          </cell>
          <cell r="H64">
            <v>15400711004</v>
          </cell>
          <cell r="I64" t="str">
            <v>1000 tờ</v>
          </cell>
          <cell r="K64">
            <v>10000</v>
          </cell>
          <cell r="L64" t="str">
            <v>Hộp 24 lon 330ml</v>
          </cell>
          <cell r="M64" t="str">
            <v>Tổ In offset</v>
          </cell>
          <cell r="N64">
            <v>2</v>
          </cell>
          <cell r="O64">
            <v>34.980000000000004</v>
          </cell>
          <cell r="P64">
            <v>4.3725000000000005</v>
          </cell>
          <cell r="Q64">
            <v>0.45740423098913657</v>
          </cell>
          <cell r="R64">
            <v>0.13735862792466563</v>
          </cell>
        </row>
        <row r="65">
          <cell r="C65" t="str">
            <v>Hộp Thanh Hoa 24 lon Máy 3ng</v>
          </cell>
          <cell r="D65" t="str">
            <v>100013</v>
          </cell>
          <cell r="E65" t="str">
            <v>Máy 3ng</v>
          </cell>
          <cell r="F65" t="str">
            <v>Hộp Thanh Hoa 24 lon</v>
          </cell>
          <cell r="G65" t="str">
            <v>In các hộp lẻ (máy 3 người)</v>
          </cell>
          <cell r="H65">
            <v>15400711003</v>
          </cell>
          <cell r="I65" t="str">
            <v>1000 tờ</v>
          </cell>
          <cell r="K65">
            <v>10000</v>
          </cell>
          <cell r="L65" t="str">
            <v>Hộp 24 lon 330ml</v>
          </cell>
          <cell r="M65" t="str">
            <v>Tổ In offset</v>
          </cell>
          <cell r="N65">
            <v>3</v>
          </cell>
          <cell r="O65">
            <v>39.75</v>
          </cell>
          <cell r="P65">
            <v>4.96875</v>
          </cell>
          <cell r="Q65">
            <v>0.60377358490566035</v>
          </cell>
          <cell r="R65">
            <v>0.18131338886055867</v>
          </cell>
        </row>
        <row r="66">
          <cell r="C66" t="str">
            <v>Hộp Thanh Hoa 24 lon Máy 2ng</v>
          </cell>
          <cell r="D66" t="str">
            <v>100014</v>
          </cell>
          <cell r="E66" t="str">
            <v>Máy 2ng</v>
          </cell>
          <cell r="F66" t="str">
            <v>Hộp Thanh Hoa 24 lon</v>
          </cell>
          <cell r="G66" t="str">
            <v>In các hộp lẻ (máy 2 người)</v>
          </cell>
          <cell r="H66">
            <v>15400711004</v>
          </cell>
          <cell r="I66" t="str">
            <v>1000 tờ</v>
          </cell>
          <cell r="K66">
            <v>10000</v>
          </cell>
          <cell r="L66" t="str">
            <v>Hộp 24 lon 330ml</v>
          </cell>
          <cell r="M66" t="str">
            <v>Tổ In offset</v>
          </cell>
          <cell r="N66">
            <v>2</v>
          </cell>
          <cell r="O66">
            <v>34.980000000000004</v>
          </cell>
          <cell r="P66">
            <v>4.3725000000000005</v>
          </cell>
          <cell r="Q66">
            <v>0.45740423098913657</v>
          </cell>
          <cell r="R66">
            <v>0.13735862792466563</v>
          </cell>
        </row>
        <row r="67">
          <cell r="C67" t="str">
            <v>Hộp Thanh Hoa 24 lon Tết Máy 3ng</v>
          </cell>
          <cell r="D67" t="str">
            <v>100015</v>
          </cell>
          <cell r="E67" t="str">
            <v>Máy 3ng</v>
          </cell>
          <cell r="F67" t="str">
            <v>Hộp Thanh Hoa 24 lon Tết</v>
          </cell>
          <cell r="G67" t="str">
            <v>In các hộp lẻ (máy 3 người)</v>
          </cell>
          <cell r="H67">
            <v>15400711003</v>
          </cell>
          <cell r="I67" t="str">
            <v>1000 tờ</v>
          </cell>
          <cell r="K67">
            <v>10000</v>
          </cell>
          <cell r="L67" t="str">
            <v>Hộp 24 lon 330ml</v>
          </cell>
          <cell r="M67" t="str">
            <v>Tổ In offset</v>
          </cell>
          <cell r="N67">
            <v>3</v>
          </cell>
          <cell r="O67">
            <v>39.75</v>
          </cell>
          <cell r="P67">
            <v>4.96875</v>
          </cell>
          <cell r="Q67">
            <v>0.60377358490566035</v>
          </cell>
          <cell r="R67">
            <v>0.18131338886055867</v>
          </cell>
        </row>
        <row r="68">
          <cell r="C68" t="str">
            <v>Hộp Thanh Hoa 24 lon Tết Máy 2ng</v>
          </cell>
          <cell r="D68" t="str">
            <v>100016</v>
          </cell>
          <cell r="E68" t="str">
            <v>Máy 2ng</v>
          </cell>
          <cell r="F68" t="str">
            <v>Hộp Thanh Hoa 24 lon Tết</v>
          </cell>
          <cell r="G68" t="str">
            <v>In các hộp lẻ (máy 2 người)</v>
          </cell>
          <cell r="H68">
            <v>15400711004</v>
          </cell>
          <cell r="I68" t="str">
            <v>1000 tờ</v>
          </cell>
          <cell r="K68">
            <v>10000</v>
          </cell>
          <cell r="L68" t="str">
            <v>Hộp 24 lon 330ml</v>
          </cell>
          <cell r="M68" t="str">
            <v>Tổ In offset</v>
          </cell>
          <cell r="N68">
            <v>2</v>
          </cell>
          <cell r="O68">
            <v>34.980000000000004</v>
          </cell>
          <cell r="P68">
            <v>4.3725000000000005</v>
          </cell>
          <cell r="Q68">
            <v>0.45740423098913657</v>
          </cell>
          <cell r="R68">
            <v>0.13735862792466563</v>
          </cell>
        </row>
        <row r="69">
          <cell r="C69" t="str">
            <v>Hộp Thabrew 24 lon  Máy 3ng</v>
          </cell>
          <cell r="D69" t="str">
            <v>100017</v>
          </cell>
          <cell r="E69" t="str">
            <v>Máy 3ng</v>
          </cell>
          <cell r="F69" t="str">
            <v xml:space="preserve">Hộp Thabrew 24 lon </v>
          </cell>
          <cell r="G69" t="str">
            <v>In các hộp lẻ (máy 3 người)</v>
          </cell>
          <cell r="H69">
            <v>15400711003</v>
          </cell>
          <cell r="I69" t="str">
            <v>1000 tờ</v>
          </cell>
          <cell r="K69">
            <v>10000</v>
          </cell>
          <cell r="L69" t="str">
            <v>Hộp 24 lon 330ml</v>
          </cell>
          <cell r="M69" t="str">
            <v>Tổ In offset</v>
          </cell>
          <cell r="N69">
            <v>3</v>
          </cell>
          <cell r="O69">
            <v>39.75</v>
          </cell>
          <cell r="P69">
            <v>4.96875</v>
          </cell>
          <cell r="Q69">
            <v>0.60377358490566035</v>
          </cell>
          <cell r="R69">
            <v>0.18131338886055867</v>
          </cell>
        </row>
        <row r="70">
          <cell r="C70" t="str">
            <v>Hộp Thabrew 24 lon  Máy 2ng</v>
          </cell>
          <cell r="D70" t="str">
            <v>100018</v>
          </cell>
          <cell r="E70" t="str">
            <v>Máy 2ng</v>
          </cell>
          <cell r="F70" t="str">
            <v xml:space="preserve">Hộp Thabrew 24 lon </v>
          </cell>
          <cell r="G70" t="str">
            <v>In các hộp lẻ (máy 2 người)</v>
          </cell>
          <cell r="H70">
            <v>15400711004</v>
          </cell>
          <cell r="I70" t="str">
            <v>1000 tờ</v>
          </cell>
          <cell r="K70">
            <v>10000</v>
          </cell>
          <cell r="L70" t="str">
            <v>Hộp 24 lon 330ml</v>
          </cell>
          <cell r="M70" t="str">
            <v>Tổ In offset</v>
          </cell>
          <cell r="N70">
            <v>2</v>
          </cell>
          <cell r="O70">
            <v>34.980000000000004</v>
          </cell>
          <cell r="P70">
            <v>4.3725000000000005</v>
          </cell>
          <cell r="Q70">
            <v>0.45740423098913657</v>
          </cell>
          <cell r="R70">
            <v>0.13735862792466563</v>
          </cell>
        </row>
        <row r="71">
          <cell r="C71" t="str">
            <v>Hộp Thabrew 24 lon Tết Máy 3ng</v>
          </cell>
          <cell r="D71" t="str">
            <v>100019</v>
          </cell>
          <cell r="E71" t="str">
            <v>Máy 3ng</v>
          </cell>
          <cell r="F71" t="str">
            <v>Hộp Thabrew 24 lon Tết</v>
          </cell>
          <cell r="G71" t="str">
            <v>In các hộp lẻ (máy 3 người)</v>
          </cell>
          <cell r="H71">
            <v>15400711003</v>
          </cell>
          <cell r="I71" t="str">
            <v>1000 tờ</v>
          </cell>
          <cell r="K71">
            <v>10000</v>
          </cell>
          <cell r="L71" t="str">
            <v>Hộp 24 lon 330ml</v>
          </cell>
          <cell r="M71" t="str">
            <v>Tổ In offset</v>
          </cell>
          <cell r="N71">
            <v>3</v>
          </cell>
          <cell r="O71">
            <v>39.75</v>
          </cell>
          <cell r="P71">
            <v>4.96875</v>
          </cell>
          <cell r="Q71">
            <v>0.60377358490566035</v>
          </cell>
          <cell r="R71">
            <v>0.18131338886055867</v>
          </cell>
        </row>
        <row r="72">
          <cell r="C72" t="str">
            <v>Hộp Thabrew 24 lon Tết Máy 2ng</v>
          </cell>
          <cell r="D72" t="str">
            <v>100020</v>
          </cell>
          <cell r="E72" t="str">
            <v>Máy 2ng</v>
          </cell>
          <cell r="F72" t="str">
            <v>Hộp Thabrew 24 lon Tết</v>
          </cell>
          <cell r="G72" t="str">
            <v>In các hộp lẻ (máy 2 người)</v>
          </cell>
          <cell r="H72">
            <v>15400711004</v>
          </cell>
          <cell r="I72" t="str">
            <v>1000 tờ</v>
          </cell>
          <cell r="K72">
            <v>10000</v>
          </cell>
          <cell r="L72" t="str">
            <v>Hộp 24 lon 330ml</v>
          </cell>
          <cell r="M72" t="str">
            <v>Tổ In offset</v>
          </cell>
          <cell r="N72">
            <v>2</v>
          </cell>
          <cell r="O72">
            <v>34.980000000000004</v>
          </cell>
          <cell r="P72">
            <v>4.3725000000000005</v>
          </cell>
          <cell r="Q72">
            <v>0.45740423098913657</v>
          </cell>
          <cell r="R72">
            <v>0.13735862792466563</v>
          </cell>
        </row>
        <row r="73">
          <cell r="C73" t="str">
            <v>Hộp Thabrew silver Blue Máy 3ng</v>
          </cell>
          <cell r="D73" t="str">
            <v>100021</v>
          </cell>
          <cell r="E73" t="str">
            <v>Máy 3ng</v>
          </cell>
          <cell r="F73" t="str">
            <v>Hộp Thabrew silver Blue</v>
          </cell>
          <cell r="G73" t="str">
            <v>In các hộp lẻ (máy 3 người)</v>
          </cell>
          <cell r="H73">
            <v>15400711003</v>
          </cell>
          <cell r="I73" t="str">
            <v>1000 tờ</v>
          </cell>
          <cell r="K73">
            <v>10000</v>
          </cell>
          <cell r="L73" t="str">
            <v>Hộp 24 lon 330ml</v>
          </cell>
          <cell r="M73" t="str">
            <v>Tổ In offset</v>
          </cell>
          <cell r="N73">
            <v>3</v>
          </cell>
          <cell r="O73">
            <v>39.75</v>
          </cell>
          <cell r="P73">
            <v>4.96875</v>
          </cell>
          <cell r="Q73">
            <v>0.60377358490566035</v>
          </cell>
          <cell r="R73">
            <v>0.18131338886055867</v>
          </cell>
        </row>
        <row r="74">
          <cell r="C74" t="str">
            <v>Hộp Thabrew silver Blue Máy 2ng</v>
          </cell>
          <cell r="D74" t="str">
            <v>100022</v>
          </cell>
          <cell r="E74" t="str">
            <v>Máy 2ng</v>
          </cell>
          <cell r="F74" t="str">
            <v>Hộp Thabrew silver Blue</v>
          </cell>
          <cell r="G74" t="str">
            <v>In các hộp lẻ (máy 2 người)</v>
          </cell>
          <cell r="H74">
            <v>15400711004</v>
          </cell>
          <cell r="I74" t="str">
            <v>1000 tờ</v>
          </cell>
          <cell r="K74">
            <v>10000</v>
          </cell>
          <cell r="L74" t="str">
            <v>Hộp 24 lon 330ml</v>
          </cell>
          <cell r="M74" t="str">
            <v>Tổ In offset</v>
          </cell>
          <cell r="N74">
            <v>2</v>
          </cell>
          <cell r="O74">
            <v>34.980000000000004</v>
          </cell>
          <cell r="P74">
            <v>4.3725000000000005</v>
          </cell>
          <cell r="Q74">
            <v>0.45740423098913657</v>
          </cell>
          <cell r="R74">
            <v>0.13735862792466563</v>
          </cell>
        </row>
        <row r="75">
          <cell r="C75" t="str">
            <v>Hộp Trúc bạch Máy 3ng</v>
          </cell>
          <cell r="D75" t="str">
            <v>100023</v>
          </cell>
          <cell r="E75" t="str">
            <v>Máy 3ng</v>
          </cell>
          <cell r="F75" t="str">
            <v>Hộp Trúc bạch</v>
          </cell>
          <cell r="G75" t="str">
            <v>In các hộp lẻ (máy 3 người)</v>
          </cell>
          <cell r="H75">
            <v>15400711003</v>
          </cell>
          <cell r="I75" t="str">
            <v>1000 tờ</v>
          </cell>
          <cell r="K75">
            <v>10000</v>
          </cell>
          <cell r="L75" t="str">
            <v>Hộp 24 lon 330ml</v>
          </cell>
          <cell r="M75" t="str">
            <v>Tổ In offset</v>
          </cell>
          <cell r="N75">
            <v>3</v>
          </cell>
          <cell r="O75">
            <v>39.75</v>
          </cell>
          <cell r="P75">
            <v>4.96875</v>
          </cell>
          <cell r="Q75">
            <v>0.60377358490566035</v>
          </cell>
          <cell r="R75">
            <v>0.18131338886055867</v>
          </cell>
        </row>
        <row r="76">
          <cell r="C76" t="str">
            <v>Hộp Trúc bạch Máy 2ng</v>
          </cell>
          <cell r="D76" t="str">
            <v>100024</v>
          </cell>
          <cell r="E76" t="str">
            <v>Máy 2ng</v>
          </cell>
          <cell r="F76" t="str">
            <v>Hộp Trúc bạch</v>
          </cell>
          <cell r="G76" t="str">
            <v>In các hộp lẻ (máy 2 người)</v>
          </cell>
          <cell r="H76">
            <v>15400711004</v>
          </cell>
          <cell r="I76" t="str">
            <v>1000 tờ</v>
          </cell>
          <cell r="K76">
            <v>10000</v>
          </cell>
          <cell r="L76" t="str">
            <v>Hộp 24 lon 330ml</v>
          </cell>
          <cell r="M76" t="str">
            <v>Tổ In offset</v>
          </cell>
          <cell r="N76">
            <v>2</v>
          </cell>
          <cell r="O76">
            <v>34.980000000000004</v>
          </cell>
          <cell r="P76">
            <v>4.3725000000000005</v>
          </cell>
          <cell r="Q76">
            <v>0.45740423098913657</v>
          </cell>
          <cell r="R76">
            <v>0.13735862792466563</v>
          </cell>
        </row>
        <row r="77">
          <cell r="C77" t="str">
            <v>Xách Trúc Bạch craft Máy 3ng</v>
          </cell>
          <cell r="D77" t="str">
            <v>100025</v>
          </cell>
          <cell r="E77" t="str">
            <v>Máy 3ng</v>
          </cell>
          <cell r="F77" t="str">
            <v>Xách Trúc Bạch craft</v>
          </cell>
          <cell r="G77" t="str">
            <v>In các hộp lẻ (máy 3 người)</v>
          </cell>
          <cell r="H77">
            <v>15400711003</v>
          </cell>
          <cell r="I77" t="str">
            <v>1000 tờ</v>
          </cell>
          <cell r="K77">
            <v>10000</v>
          </cell>
          <cell r="L77" t="str">
            <v>Hộp 24 lon 330ml</v>
          </cell>
          <cell r="M77" t="str">
            <v>Tổ In offset</v>
          </cell>
          <cell r="N77">
            <v>3</v>
          </cell>
          <cell r="O77">
            <v>39.75</v>
          </cell>
          <cell r="P77">
            <v>4.96875</v>
          </cell>
          <cell r="Q77">
            <v>0.60377358490566035</v>
          </cell>
          <cell r="R77">
            <v>0.18131338886055867</v>
          </cell>
        </row>
        <row r="78">
          <cell r="C78" t="str">
            <v>Xách Trúc Bạch craft Máy 2ng</v>
          </cell>
          <cell r="D78" t="str">
            <v>100026</v>
          </cell>
          <cell r="E78" t="str">
            <v>Máy 2ng</v>
          </cell>
          <cell r="F78" t="str">
            <v>Xách Trúc Bạch craft</v>
          </cell>
          <cell r="G78" t="str">
            <v>In các hộp lẻ (máy 2 người)</v>
          </cell>
          <cell r="H78">
            <v>15400711004</v>
          </cell>
          <cell r="I78" t="str">
            <v>1000 tờ</v>
          </cell>
          <cell r="K78">
            <v>10000</v>
          </cell>
          <cell r="L78" t="str">
            <v>Hộp 24 lon 330ml</v>
          </cell>
          <cell r="M78" t="str">
            <v>Tổ In offset</v>
          </cell>
          <cell r="N78">
            <v>2</v>
          </cell>
          <cell r="O78">
            <v>34.980000000000004</v>
          </cell>
          <cell r="P78">
            <v>4.3725000000000005</v>
          </cell>
          <cell r="Q78">
            <v>0.45740423098913657</v>
          </cell>
          <cell r="R78">
            <v>0.13735862792466563</v>
          </cell>
        </row>
        <row r="79">
          <cell r="C79" t="str">
            <v>Hộp Trúc Bạch Sleek Máy 3ng</v>
          </cell>
          <cell r="D79" t="str">
            <v>100027</v>
          </cell>
          <cell r="E79" t="str">
            <v>Máy 3ng</v>
          </cell>
          <cell r="F79" t="str">
            <v>Hộp Trúc Bạch Sleek</v>
          </cell>
          <cell r="G79" t="str">
            <v>In các hộp lẻ (máy 3 người)</v>
          </cell>
          <cell r="H79">
            <v>15400711003</v>
          </cell>
          <cell r="I79" t="str">
            <v>1000 tờ</v>
          </cell>
          <cell r="K79">
            <v>10000</v>
          </cell>
          <cell r="L79" t="str">
            <v>Hộp 24 lon 330ml</v>
          </cell>
          <cell r="M79" t="str">
            <v>Tổ In offset</v>
          </cell>
          <cell r="N79">
            <v>3</v>
          </cell>
          <cell r="O79">
            <v>39.75</v>
          </cell>
          <cell r="P79">
            <v>4.96875</v>
          </cell>
          <cell r="Q79">
            <v>0.60377358490566035</v>
          </cell>
          <cell r="R79">
            <v>0.18131338886055867</v>
          </cell>
        </row>
        <row r="80">
          <cell r="C80" t="str">
            <v>Hộp Trúc Bạch Sleek Máy 2ng</v>
          </cell>
          <cell r="D80" t="str">
            <v>100028</v>
          </cell>
          <cell r="E80" t="str">
            <v>Máy 2ng</v>
          </cell>
          <cell r="F80" t="str">
            <v>Hộp Trúc Bạch Sleek</v>
          </cell>
          <cell r="G80" t="str">
            <v>In các hộp lẻ (máy 2 người)</v>
          </cell>
          <cell r="H80">
            <v>15400711004</v>
          </cell>
          <cell r="I80" t="str">
            <v>1000 tờ</v>
          </cell>
          <cell r="K80">
            <v>10000</v>
          </cell>
          <cell r="L80" t="str">
            <v>Hộp 24 lon 330ml</v>
          </cell>
          <cell r="M80" t="str">
            <v>Tổ In offset</v>
          </cell>
          <cell r="N80">
            <v>2</v>
          </cell>
          <cell r="O80">
            <v>34.980000000000004</v>
          </cell>
          <cell r="P80">
            <v>4.3725000000000005</v>
          </cell>
          <cell r="Q80">
            <v>0.45740423098913657</v>
          </cell>
          <cell r="R80">
            <v>0.13735862792466563</v>
          </cell>
        </row>
        <row r="81">
          <cell r="C81" t="str">
            <v>Hộp TRB- Hải Phòng Máy 3ng</v>
          </cell>
          <cell r="D81" t="str">
            <v>100029</v>
          </cell>
          <cell r="E81" t="str">
            <v>Máy 3ng</v>
          </cell>
          <cell r="F81" t="str">
            <v>Hộp TRB- Hải Phòng</v>
          </cell>
          <cell r="G81" t="str">
            <v>In các hộp lẻ (máy 3 người)</v>
          </cell>
          <cell r="H81">
            <v>15400711003</v>
          </cell>
          <cell r="I81" t="str">
            <v>1000 tờ</v>
          </cell>
          <cell r="K81">
            <v>1000201</v>
          </cell>
          <cell r="L81" t="str">
            <v>Các loại sản phẩm khác</v>
          </cell>
          <cell r="M81" t="str">
            <v>Tổ In offset</v>
          </cell>
          <cell r="N81">
            <v>3</v>
          </cell>
          <cell r="O81">
            <v>39.75</v>
          </cell>
          <cell r="P81">
            <v>4.96875</v>
          </cell>
          <cell r="Q81">
            <v>0.60377358490566035</v>
          </cell>
          <cell r="R81">
            <v>0.18131338886055867</v>
          </cell>
        </row>
        <row r="82">
          <cell r="C82" t="str">
            <v>Hộp TRB- Hải Phòng Máy 2ng</v>
          </cell>
          <cell r="D82" t="str">
            <v>100030</v>
          </cell>
          <cell r="E82" t="str">
            <v>Máy 2ng</v>
          </cell>
          <cell r="F82" t="str">
            <v>Hộp TRB- Hải Phòng</v>
          </cell>
          <cell r="G82" t="str">
            <v>In các hộp lẻ (máy 2 người)</v>
          </cell>
          <cell r="H82">
            <v>15400711004</v>
          </cell>
          <cell r="I82" t="str">
            <v>1000 tờ</v>
          </cell>
          <cell r="K82">
            <v>1000201</v>
          </cell>
          <cell r="L82" t="str">
            <v>Các loại sản phẩm khác</v>
          </cell>
          <cell r="M82" t="str">
            <v>Tổ In offset</v>
          </cell>
          <cell r="N82">
            <v>2</v>
          </cell>
          <cell r="O82">
            <v>34.980000000000004</v>
          </cell>
          <cell r="P82">
            <v>4.3725000000000005</v>
          </cell>
          <cell r="Q82">
            <v>0.45740423098913657</v>
          </cell>
          <cell r="R82">
            <v>0.13735862792466563</v>
          </cell>
        </row>
        <row r="83">
          <cell r="C83" t="str">
            <v>Hộp TRB- HN  Máy 3ng</v>
          </cell>
          <cell r="D83" t="str">
            <v>100031</v>
          </cell>
          <cell r="E83" t="str">
            <v>Máy 3ng</v>
          </cell>
          <cell r="F83" t="str">
            <v xml:space="preserve">Hộp TRB- HN </v>
          </cell>
          <cell r="G83" t="str">
            <v>In các hộp lẻ (máy 3 người)</v>
          </cell>
          <cell r="H83">
            <v>15400711003</v>
          </cell>
          <cell r="I83" t="str">
            <v>1000 tờ</v>
          </cell>
          <cell r="K83">
            <v>1000201</v>
          </cell>
          <cell r="L83" t="str">
            <v>Các loại sản phẩm khác</v>
          </cell>
          <cell r="M83" t="str">
            <v>Tổ In offset</v>
          </cell>
          <cell r="N83">
            <v>3</v>
          </cell>
          <cell r="O83">
            <v>39.75</v>
          </cell>
          <cell r="P83">
            <v>4.96875</v>
          </cell>
          <cell r="Q83">
            <v>0.60377358490566035</v>
          </cell>
          <cell r="R83">
            <v>0.18131338886055867</v>
          </cell>
        </row>
        <row r="84">
          <cell r="C84" t="str">
            <v>Hộp TRB- HN  Máy 2ng</v>
          </cell>
          <cell r="D84" t="str">
            <v>100032</v>
          </cell>
          <cell r="E84" t="str">
            <v>Máy 2ng</v>
          </cell>
          <cell r="F84" t="str">
            <v xml:space="preserve">Hộp TRB- HN </v>
          </cell>
          <cell r="G84" t="str">
            <v>In các hộp lẻ (máy 2 người)</v>
          </cell>
          <cell r="H84">
            <v>15400711004</v>
          </cell>
          <cell r="I84" t="str">
            <v>1000 tờ</v>
          </cell>
          <cell r="K84">
            <v>1000201</v>
          </cell>
          <cell r="L84" t="str">
            <v>Các loại sản phẩm khác</v>
          </cell>
          <cell r="M84" t="str">
            <v>Tổ In offset</v>
          </cell>
          <cell r="N84">
            <v>2</v>
          </cell>
          <cell r="O84">
            <v>34.980000000000004</v>
          </cell>
          <cell r="P84">
            <v>4.3725000000000005</v>
          </cell>
          <cell r="Q84">
            <v>0.45740423098913657</v>
          </cell>
          <cell r="R84">
            <v>0.13735862792466563</v>
          </cell>
        </row>
        <row r="85">
          <cell r="C85" t="str">
            <v>Hộp TRB- HN xanh  Máy 3ng</v>
          </cell>
          <cell r="D85" t="str">
            <v>100033</v>
          </cell>
          <cell r="E85" t="str">
            <v>Máy 3ng</v>
          </cell>
          <cell r="F85" t="str">
            <v xml:space="preserve">Hộp TRB- HN xanh </v>
          </cell>
          <cell r="G85" t="str">
            <v>In các hộp lẻ (máy 3 người)</v>
          </cell>
          <cell r="H85">
            <v>15400711003</v>
          </cell>
          <cell r="I85" t="str">
            <v>1000 tờ</v>
          </cell>
          <cell r="K85">
            <v>1000201</v>
          </cell>
          <cell r="L85" t="str">
            <v>Các loại sản phẩm khác</v>
          </cell>
          <cell r="M85" t="str">
            <v>Tổ In offset</v>
          </cell>
          <cell r="N85">
            <v>3</v>
          </cell>
          <cell r="O85">
            <v>39.75</v>
          </cell>
          <cell r="P85">
            <v>4.96875</v>
          </cell>
          <cell r="Q85">
            <v>0.60377358490566035</v>
          </cell>
          <cell r="R85">
            <v>0.18131338886055867</v>
          </cell>
        </row>
        <row r="86">
          <cell r="C86" t="str">
            <v>Hộp TRB- HN xanh  Máy 2ng</v>
          </cell>
          <cell r="D86" t="str">
            <v>100034</v>
          </cell>
          <cell r="E86" t="str">
            <v>Máy 2ng</v>
          </cell>
          <cell r="F86" t="str">
            <v xml:space="preserve">Hộp TRB- HN xanh </v>
          </cell>
          <cell r="G86" t="str">
            <v>In các hộp lẻ (máy 2 người)</v>
          </cell>
          <cell r="H86">
            <v>15400711004</v>
          </cell>
          <cell r="I86" t="str">
            <v>1000 tờ</v>
          </cell>
          <cell r="K86">
            <v>1000201</v>
          </cell>
          <cell r="L86" t="str">
            <v>Các loại sản phẩm khác</v>
          </cell>
          <cell r="M86" t="str">
            <v>Tổ In offset</v>
          </cell>
          <cell r="N86">
            <v>2</v>
          </cell>
          <cell r="O86">
            <v>34.980000000000004</v>
          </cell>
          <cell r="P86">
            <v>4.3725000000000005</v>
          </cell>
          <cell r="Q86">
            <v>0.45740423098913657</v>
          </cell>
          <cell r="R86">
            <v>0.13735862792466563</v>
          </cell>
        </row>
        <row r="87">
          <cell r="C87" t="str">
            <v>Hộp TRB- HN xanh vàng  Máy 3ng</v>
          </cell>
          <cell r="D87" t="str">
            <v>100035</v>
          </cell>
          <cell r="E87" t="str">
            <v>Máy 3ng</v>
          </cell>
          <cell r="F87" t="str">
            <v xml:space="preserve">Hộp TRB- HN xanh vàng </v>
          </cell>
          <cell r="G87" t="str">
            <v>In các hộp lẻ (máy 3 người)</v>
          </cell>
          <cell r="H87">
            <v>15400711003</v>
          </cell>
          <cell r="I87" t="str">
            <v>1000 tờ</v>
          </cell>
          <cell r="K87">
            <v>1000201</v>
          </cell>
          <cell r="L87" t="str">
            <v>Các loại sản phẩm khác</v>
          </cell>
          <cell r="M87" t="str">
            <v>Tổ In offset</v>
          </cell>
          <cell r="N87">
            <v>3</v>
          </cell>
          <cell r="O87">
            <v>39.75</v>
          </cell>
          <cell r="P87">
            <v>4.96875</v>
          </cell>
          <cell r="Q87">
            <v>0.60377358490566035</v>
          </cell>
          <cell r="R87">
            <v>0.18131338886055867</v>
          </cell>
        </row>
        <row r="88">
          <cell r="C88" t="str">
            <v>Hộp TRB- HN xanh vàng  Máy 2ng</v>
          </cell>
          <cell r="D88" t="str">
            <v>100036</v>
          </cell>
          <cell r="E88" t="str">
            <v>Máy 2ng</v>
          </cell>
          <cell r="F88" t="str">
            <v xml:space="preserve">Hộp TRB- HN xanh vàng </v>
          </cell>
          <cell r="G88" t="str">
            <v>In các hộp lẻ (máy 2 người)</v>
          </cell>
          <cell r="H88">
            <v>15400711004</v>
          </cell>
          <cell r="I88" t="str">
            <v>1000 tờ</v>
          </cell>
          <cell r="K88">
            <v>1000201</v>
          </cell>
          <cell r="L88" t="str">
            <v>Các loại sản phẩm khác</v>
          </cell>
          <cell r="M88" t="str">
            <v>Tổ In offset</v>
          </cell>
          <cell r="N88">
            <v>2</v>
          </cell>
          <cell r="O88">
            <v>34.980000000000004</v>
          </cell>
          <cell r="P88">
            <v>4.3725000000000005</v>
          </cell>
          <cell r="Q88">
            <v>0.45740423098913657</v>
          </cell>
          <cell r="R88">
            <v>0.13735862792466563</v>
          </cell>
        </row>
        <row r="89">
          <cell r="C89" t="str">
            <v>Hộp bia hơi 24 lon 500ml Máy 3ng</v>
          </cell>
          <cell r="D89" t="str">
            <v>100037</v>
          </cell>
          <cell r="E89" t="str">
            <v>Máy 3ng</v>
          </cell>
          <cell r="F89" t="str">
            <v>Hộp bia hơi 24 lon 500ml</v>
          </cell>
          <cell r="G89" t="str">
            <v>In các hộp lẻ (máy 3 người)</v>
          </cell>
          <cell r="H89">
            <v>15400711003</v>
          </cell>
          <cell r="I89" t="str">
            <v>1000 tờ</v>
          </cell>
          <cell r="L89" t="str">
            <v>Các loại sản phẩm khác</v>
          </cell>
          <cell r="M89" t="str">
            <v>Tổ In offset</v>
          </cell>
          <cell r="N89">
            <v>3</v>
          </cell>
          <cell r="O89">
            <v>39.75</v>
          </cell>
          <cell r="P89">
            <v>4.96875</v>
          </cell>
          <cell r="Q89">
            <v>0.60377358490566035</v>
          </cell>
          <cell r="R89">
            <v>0.18131338886055867</v>
          </cell>
        </row>
        <row r="90">
          <cell r="C90" t="str">
            <v>Hộp bia hơi 24 lon 500ml Máy 2ng</v>
          </cell>
          <cell r="D90" t="str">
            <v>100038</v>
          </cell>
          <cell r="E90" t="str">
            <v>Máy 2ng</v>
          </cell>
          <cell r="F90" t="str">
            <v>Hộp bia hơi 24 lon 500ml</v>
          </cell>
          <cell r="G90" t="str">
            <v>In các hộp lẻ (máy 2 người)</v>
          </cell>
          <cell r="H90">
            <v>15400711004</v>
          </cell>
          <cell r="I90" t="str">
            <v>1000 tờ</v>
          </cell>
          <cell r="L90" t="str">
            <v>Các loại sản phẩm khác</v>
          </cell>
          <cell r="M90" t="str">
            <v>Tổ In offset</v>
          </cell>
          <cell r="N90">
            <v>2</v>
          </cell>
          <cell r="O90">
            <v>34.980000000000004</v>
          </cell>
          <cell r="P90">
            <v>4.3725000000000005</v>
          </cell>
          <cell r="Q90">
            <v>0.45740423098913657</v>
          </cell>
          <cell r="R90">
            <v>0.13735862792466563</v>
          </cell>
        </row>
        <row r="91">
          <cell r="C91" t="str">
            <v>Hộp bia hơi 24 lon 500ml Tết Máy 3ng</v>
          </cell>
          <cell r="D91" t="str">
            <v>100039</v>
          </cell>
          <cell r="E91" t="str">
            <v>Máy 3ng</v>
          </cell>
          <cell r="F91" t="str">
            <v>Hộp bia hơi 24 lon 500ml Tết</v>
          </cell>
          <cell r="G91" t="str">
            <v>In các hộp lẻ (máy 3 người)</v>
          </cell>
          <cell r="H91">
            <v>15400711003</v>
          </cell>
          <cell r="I91" t="str">
            <v>1000 tờ</v>
          </cell>
          <cell r="L91" t="str">
            <v>Các loại sản phẩm khác</v>
          </cell>
          <cell r="M91" t="str">
            <v>Tổ In offset</v>
          </cell>
          <cell r="N91">
            <v>3</v>
          </cell>
          <cell r="O91">
            <v>39.75</v>
          </cell>
          <cell r="P91">
            <v>4.96875</v>
          </cell>
          <cell r="Q91">
            <v>0.60377358490566035</v>
          </cell>
          <cell r="R91">
            <v>0.18131338886055867</v>
          </cell>
        </row>
        <row r="92">
          <cell r="C92" t="str">
            <v>Hộp bia hơi 24 lon 500ml Tết Máy 2ng</v>
          </cell>
          <cell r="D92" t="str">
            <v>100040</v>
          </cell>
          <cell r="E92" t="str">
            <v>Máy 2ng</v>
          </cell>
          <cell r="F92" t="str">
            <v>Hộp bia hơi 24 lon 500ml Tết</v>
          </cell>
          <cell r="G92" t="str">
            <v>In các hộp lẻ (máy 2 người)</v>
          </cell>
          <cell r="H92">
            <v>15400711004</v>
          </cell>
          <cell r="I92" t="str">
            <v>1000 tờ</v>
          </cell>
          <cell r="L92" t="str">
            <v>Các loại sản phẩm khác</v>
          </cell>
          <cell r="M92" t="str">
            <v>Tổ In offset</v>
          </cell>
          <cell r="N92">
            <v>2</v>
          </cell>
          <cell r="O92">
            <v>34.980000000000004</v>
          </cell>
          <cell r="P92">
            <v>4.3725000000000005</v>
          </cell>
          <cell r="Q92">
            <v>0.45740423098913657</v>
          </cell>
          <cell r="R92">
            <v>0.13735862792466563</v>
          </cell>
        </row>
        <row r="93">
          <cell r="C93" t="str">
            <v>Hộp Bold Sleek Máy 3ng</v>
          </cell>
          <cell r="D93" t="str">
            <v>100041</v>
          </cell>
          <cell r="E93" t="str">
            <v>Máy 3ng</v>
          </cell>
          <cell r="F93" t="str">
            <v>Hộp Bold Sleek</v>
          </cell>
          <cell r="G93" t="str">
            <v>In các hộp lẻ (máy 3 người)</v>
          </cell>
          <cell r="H93">
            <v>15400711003</v>
          </cell>
          <cell r="I93" t="str">
            <v>1000 tờ</v>
          </cell>
          <cell r="K93">
            <v>10000</v>
          </cell>
          <cell r="L93" t="str">
            <v>Hộp 24 lon 330ml</v>
          </cell>
          <cell r="M93" t="str">
            <v>Tổ In offset</v>
          </cell>
          <cell r="N93">
            <v>3</v>
          </cell>
          <cell r="O93">
            <v>39.75</v>
          </cell>
          <cell r="P93">
            <v>4.96875</v>
          </cell>
          <cell r="Q93">
            <v>0.60377358490566035</v>
          </cell>
          <cell r="R93">
            <v>0.18131338886055867</v>
          </cell>
        </row>
        <row r="94">
          <cell r="C94" t="str">
            <v>Hộp Bold Sleek Máy 2ng</v>
          </cell>
          <cell r="D94" t="str">
            <v>100042</v>
          </cell>
          <cell r="E94" t="str">
            <v>Máy 2ng</v>
          </cell>
          <cell r="F94" t="str">
            <v>Hộp Bold Sleek</v>
          </cell>
          <cell r="G94" t="str">
            <v>In các hộp lẻ (máy 2 người)</v>
          </cell>
          <cell r="H94">
            <v>15400711004</v>
          </cell>
          <cell r="I94" t="str">
            <v>1000 tờ</v>
          </cell>
          <cell r="K94">
            <v>10000</v>
          </cell>
          <cell r="L94" t="str">
            <v>Hộp 24 lon 330ml</v>
          </cell>
          <cell r="M94" t="str">
            <v>Tổ In offset</v>
          </cell>
          <cell r="N94">
            <v>2</v>
          </cell>
          <cell r="O94">
            <v>34.980000000000004</v>
          </cell>
          <cell r="P94">
            <v>4.3725000000000005</v>
          </cell>
          <cell r="Q94">
            <v>0.45740423098913657</v>
          </cell>
          <cell r="R94">
            <v>0.13735862792466563</v>
          </cell>
        </row>
        <row r="95">
          <cell r="C95" t="str">
            <v>Hộp HN- KM hè Máy 3ng</v>
          </cell>
          <cell r="D95" t="str">
            <v>100043</v>
          </cell>
          <cell r="E95" t="str">
            <v>Máy 3ng</v>
          </cell>
          <cell r="F95" t="str">
            <v>Hộp HN- KM hè</v>
          </cell>
          <cell r="G95" t="str">
            <v>In các hộp lẻ (máy 3 người)</v>
          </cell>
          <cell r="H95">
            <v>15400711003</v>
          </cell>
          <cell r="I95" t="str">
            <v>1000 tờ</v>
          </cell>
          <cell r="K95">
            <v>10000</v>
          </cell>
          <cell r="L95" t="str">
            <v>Hộp 24 lon 330ml</v>
          </cell>
          <cell r="M95" t="str">
            <v>Tổ In offset</v>
          </cell>
          <cell r="N95">
            <v>3</v>
          </cell>
          <cell r="O95">
            <v>39.75</v>
          </cell>
          <cell r="P95">
            <v>4.96875</v>
          </cell>
          <cell r="Q95">
            <v>0.60377358490566035</v>
          </cell>
          <cell r="R95">
            <v>0.18131338886055867</v>
          </cell>
        </row>
        <row r="96">
          <cell r="C96" t="str">
            <v>Hộp HN- KM hè Máy 2ng</v>
          </cell>
          <cell r="D96" t="str">
            <v>100044</v>
          </cell>
          <cell r="E96" t="str">
            <v>Máy 2ng</v>
          </cell>
          <cell r="F96" t="str">
            <v>Hộp HN- KM hè</v>
          </cell>
          <cell r="G96" t="str">
            <v>In các hộp lẻ (máy 2 người)</v>
          </cell>
          <cell r="H96">
            <v>15400711004</v>
          </cell>
          <cell r="I96" t="str">
            <v>1000 tờ</v>
          </cell>
          <cell r="K96">
            <v>10000</v>
          </cell>
          <cell r="L96" t="str">
            <v>Hộp 24 lon 330ml</v>
          </cell>
          <cell r="M96" t="str">
            <v>Tổ In offset</v>
          </cell>
          <cell r="N96">
            <v>2</v>
          </cell>
          <cell r="O96">
            <v>34.980000000000004</v>
          </cell>
          <cell r="P96">
            <v>4.3725000000000005</v>
          </cell>
          <cell r="Q96">
            <v>0.45740423098913657</v>
          </cell>
          <cell r="R96">
            <v>0.13735862792466563</v>
          </cell>
        </row>
        <row r="97">
          <cell r="C97" t="str">
            <v>Hộp lồng đèn Vinamilk Máy 3ng</v>
          </cell>
          <cell r="D97" t="str">
            <v>100045</v>
          </cell>
          <cell r="E97" t="str">
            <v>Máy 3ng</v>
          </cell>
          <cell r="F97" t="str">
            <v>Hộp lồng đèn Vinamilk</v>
          </cell>
          <cell r="G97" t="str">
            <v>In các hộp lẻ (máy 3 người)</v>
          </cell>
          <cell r="H97">
            <v>15400711003</v>
          </cell>
          <cell r="I97" t="str">
            <v>1000 tờ</v>
          </cell>
          <cell r="L97" t="str">
            <v>Các loại sản phẩm khác</v>
          </cell>
          <cell r="M97" t="str">
            <v>Tổ In offset</v>
          </cell>
          <cell r="N97">
            <v>3</v>
          </cell>
          <cell r="O97">
            <v>39.75</v>
          </cell>
          <cell r="P97">
            <v>4.96875</v>
          </cell>
          <cell r="Q97">
            <v>0.60377358490566035</v>
          </cell>
          <cell r="R97">
            <v>0.18131338886055867</v>
          </cell>
        </row>
        <row r="98">
          <cell r="C98" t="str">
            <v>Hộp lồng đèn Vinamilk Máy 2ng</v>
          </cell>
          <cell r="D98" t="str">
            <v>100046</v>
          </cell>
          <cell r="E98" t="str">
            <v>Máy 2ng</v>
          </cell>
          <cell r="F98" t="str">
            <v>Hộp lồng đèn Vinamilk</v>
          </cell>
          <cell r="G98" t="str">
            <v>In các hộp lẻ (máy 2 người)</v>
          </cell>
          <cell r="H98">
            <v>15400711004</v>
          </cell>
          <cell r="I98" t="str">
            <v>1000 tờ</v>
          </cell>
          <cell r="L98" t="str">
            <v>Các loại sản phẩm khác</v>
          </cell>
          <cell r="M98" t="str">
            <v>Tổ In offset</v>
          </cell>
          <cell r="N98">
            <v>2</v>
          </cell>
          <cell r="O98">
            <v>34.980000000000004</v>
          </cell>
          <cell r="P98">
            <v>4.3725000000000005</v>
          </cell>
          <cell r="Q98">
            <v>0.45740423098913657</v>
          </cell>
          <cell r="R98">
            <v>0.13735862792466563</v>
          </cell>
        </row>
        <row r="99">
          <cell r="C99" t="str">
            <v>Hộp Premium Sleek Máy 3ng</v>
          </cell>
          <cell r="D99" t="str">
            <v>100047</v>
          </cell>
          <cell r="E99" t="str">
            <v>Máy 3ng</v>
          </cell>
          <cell r="F99" t="str">
            <v>Hộp Premium Sleek</v>
          </cell>
          <cell r="G99" t="str">
            <v>In các hộp lẻ (máy 3 người)</v>
          </cell>
          <cell r="H99">
            <v>15400711003</v>
          </cell>
          <cell r="I99" t="str">
            <v>1000 tờ</v>
          </cell>
          <cell r="K99">
            <v>10000</v>
          </cell>
          <cell r="L99" t="str">
            <v>Hộp 24 lon 330ml</v>
          </cell>
          <cell r="M99" t="str">
            <v>Tổ In offset</v>
          </cell>
          <cell r="N99">
            <v>3</v>
          </cell>
          <cell r="O99">
            <v>39.75</v>
          </cell>
          <cell r="P99">
            <v>4.96875</v>
          </cell>
          <cell r="Q99">
            <v>0.60377358490566035</v>
          </cell>
          <cell r="R99">
            <v>0.18131338886055867</v>
          </cell>
        </row>
        <row r="100">
          <cell r="C100" t="str">
            <v>Hộp Premium Sleek Máy 2ng</v>
          </cell>
          <cell r="D100" t="str">
            <v>100048</v>
          </cell>
          <cell r="E100" t="str">
            <v>Máy 2ng</v>
          </cell>
          <cell r="F100" t="str">
            <v>Hộp Premium Sleek</v>
          </cell>
          <cell r="G100" t="str">
            <v>In các hộp lẻ (máy 2 người)</v>
          </cell>
          <cell r="H100">
            <v>15400711004</v>
          </cell>
          <cell r="I100" t="str">
            <v>1000 tờ</v>
          </cell>
          <cell r="K100">
            <v>10000</v>
          </cell>
          <cell r="L100" t="str">
            <v>Hộp 24 lon 330ml</v>
          </cell>
          <cell r="M100" t="str">
            <v>Tổ In offset</v>
          </cell>
          <cell r="N100">
            <v>2</v>
          </cell>
          <cell r="O100">
            <v>34.980000000000004</v>
          </cell>
          <cell r="P100">
            <v>4.3725000000000005</v>
          </cell>
          <cell r="Q100">
            <v>0.45740423098913657</v>
          </cell>
          <cell r="R100">
            <v>0.13735862792466563</v>
          </cell>
        </row>
        <row r="101">
          <cell r="C101" t="str">
            <v>Hộp Premium Sleek KM Máy 3ng</v>
          </cell>
          <cell r="D101" t="str">
            <v>100049</v>
          </cell>
          <cell r="E101" t="str">
            <v>Máy 3ng</v>
          </cell>
          <cell r="F101" t="str">
            <v>Hộp Premium Sleek KM</v>
          </cell>
          <cell r="G101" t="str">
            <v>In các hộp lẻ (máy 3 người)</v>
          </cell>
          <cell r="H101">
            <v>15400711003</v>
          </cell>
          <cell r="I101" t="str">
            <v>1000 tờ</v>
          </cell>
          <cell r="K101">
            <v>10000</v>
          </cell>
          <cell r="L101" t="str">
            <v>Hộp 24 lon 330ml</v>
          </cell>
          <cell r="M101" t="str">
            <v>Tổ In offset</v>
          </cell>
          <cell r="N101">
            <v>3</v>
          </cell>
          <cell r="O101">
            <v>39.75</v>
          </cell>
          <cell r="P101">
            <v>4.96875</v>
          </cell>
          <cell r="Q101">
            <v>0.60377358490566035</v>
          </cell>
          <cell r="R101">
            <v>0.18131338886055867</v>
          </cell>
        </row>
        <row r="102">
          <cell r="C102" t="str">
            <v>Hộp Premium Sleek KM Máy 2ng</v>
          </cell>
          <cell r="D102" t="str">
            <v>100050</v>
          </cell>
          <cell r="E102" t="str">
            <v>Máy 2ng</v>
          </cell>
          <cell r="F102" t="str">
            <v>Hộp Premium Sleek KM</v>
          </cell>
          <cell r="G102" t="str">
            <v>In các hộp lẻ (máy 2 người)</v>
          </cell>
          <cell r="H102">
            <v>15400711004</v>
          </cell>
          <cell r="I102" t="str">
            <v>1000 tờ</v>
          </cell>
          <cell r="K102">
            <v>10000</v>
          </cell>
          <cell r="L102" t="str">
            <v>Hộp 24 lon 330ml</v>
          </cell>
          <cell r="M102" t="str">
            <v>Tổ In offset</v>
          </cell>
          <cell r="N102">
            <v>2</v>
          </cell>
          <cell r="O102">
            <v>34.980000000000004</v>
          </cell>
          <cell r="P102">
            <v>4.3725000000000005</v>
          </cell>
          <cell r="Q102">
            <v>0.45740423098913657</v>
          </cell>
          <cell r="R102">
            <v>0.13735862792466563</v>
          </cell>
        </row>
        <row r="103">
          <cell r="C103" t="str">
            <v>Hộp HN xanh  Máy 3ng</v>
          </cell>
          <cell r="D103" t="str">
            <v>100051</v>
          </cell>
          <cell r="E103" t="str">
            <v>Máy 3ng</v>
          </cell>
          <cell r="F103" t="str">
            <v xml:space="preserve">Hộp HN xanh </v>
          </cell>
          <cell r="G103" t="str">
            <v>In các hộp lẻ (máy 3 người)</v>
          </cell>
          <cell r="H103">
            <v>15400711003</v>
          </cell>
          <cell r="I103" t="str">
            <v>1000 tờ</v>
          </cell>
          <cell r="K103">
            <v>10000</v>
          </cell>
          <cell r="L103" t="str">
            <v>Hộp 24 lon 330ml</v>
          </cell>
          <cell r="M103" t="str">
            <v>Tổ In offset</v>
          </cell>
          <cell r="N103">
            <v>3</v>
          </cell>
          <cell r="O103">
            <v>39.75</v>
          </cell>
          <cell r="P103">
            <v>4.96875</v>
          </cell>
          <cell r="Q103">
            <v>0.60377358490566035</v>
          </cell>
          <cell r="R103">
            <v>0.18131338886055867</v>
          </cell>
        </row>
        <row r="104">
          <cell r="C104" t="str">
            <v>Hộp HN xanh  Máy 2ng</v>
          </cell>
          <cell r="D104" t="str">
            <v>100052</v>
          </cell>
          <cell r="E104" t="str">
            <v>Máy 2ng</v>
          </cell>
          <cell r="F104" t="str">
            <v xml:space="preserve">Hộp HN xanh </v>
          </cell>
          <cell r="G104" t="str">
            <v>In các hộp lẻ (máy 2 người)</v>
          </cell>
          <cell r="H104">
            <v>15400711004</v>
          </cell>
          <cell r="I104" t="str">
            <v>1000 tờ</v>
          </cell>
          <cell r="K104">
            <v>10000</v>
          </cell>
          <cell r="L104" t="str">
            <v>Hộp 24 lon 330ml</v>
          </cell>
          <cell r="M104" t="str">
            <v>Tổ In offset</v>
          </cell>
          <cell r="N104">
            <v>2</v>
          </cell>
          <cell r="O104">
            <v>34.980000000000004</v>
          </cell>
          <cell r="P104">
            <v>4.3725000000000005</v>
          </cell>
          <cell r="Q104">
            <v>0.45740423098913657</v>
          </cell>
          <cell r="R104">
            <v>0.13735862792466563</v>
          </cell>
        </row>
        <row r="105">
          <cell r="C105" t="str">
            <v>Hộp HN- KM xanh hè Máy 3ng</v>
          </cell>
          <cell r="D105" t="str">
            <v>100053</v>
          </cell>
          <cell r="E105" t="str">
            <v>Máy 3ng</v>
          </cell>
          <cell r="F105" t="str">
            <v>Hộp HN- KM xanh hè</v>
          </cell>
          <cell r="G105" t="str">
            <v>In các hộp lẻ (máy 3 người)</v>
          </cell>
          <cell r="H105">
            <v>15400711003</v>
          </cell>
          <cell r="I105" t="str">
            <v>1000 tờ</v>
          </cell>
          <cell r="K105">
            <v>10000</v>
          </cell>
          <cell r="L105" t="str">
            <v>Hộp 24 lon 330ml</v>
          </cell>
          <cell r="M105" t="str">
            <v>Tổ In offset</v>
          </cell>
          <cell r="N105">
            <v>3</v>
          </cell>
          <cell r="O105">
            <v>39.75</v>
          </cell>
          <cell r="P105">
            <v>4.96875</v>
          </cell>
          <cell r="Q105">
            <v>0.60377358490566035</v>
          </cell>
          <cell r="R105">
            <v>0.18131338886055867</v>
          </cell>
        </row>
        <row r="106">
          <cell r="C106" t="str">
            <v>Hộp HN- KM xanh hè Máy 2ng</v>
          </cell>
          <cell r="D106" t="str">
            <v>100054</v>
          </cell>
          <cell r="E106" t="str">
            <v>Máy 2ng</v>
          </cell>
          <cell r="F106" t="str">
            <v>Hộp HN- KM xanh hè</v>
          </cell>
          <cell r="G106" t="str">
            <v>In các hộp lẻ (máy 2 người)</v>
          </cell>
          <cell r="H106">
            <v>15400711004</v>
          </cell>
          <cell r="I106" t="str">
            <v>1000 tờ</v>
          </cell>
          <cell r="K106">
            <v>10000</v>
          </cell>
          <cell r="L106" t="str">
            <v>Hộp 24 lon 330ml</v>
          </cell>
          <cell r="M106" t="str">
            <v>Tổ In offset</v>
          </cell>
          <cell r="N106">
            <v>2</v>
          </cell>
          <cell r="O106">
            <v>34.980000000000004</v>
          </cell>
          <cell r="P106">
            <v>4.3725000000000005</v>
          </cell>
          <cell r="Q106">
            <v>0.45740423098913657</v>
          </cell>
          <cell r="R106">
            <v>0.13735862792466563</v>
          </cell>
        </row>
        <row r="107">
          <cell r="C107" t="str">
            <v>Hộp Uniaqua 350ml Máy 3ng</v>
          </cell>
          <cell r="D107" t="str">
            <v>100055</v>
          </cell>
          <cell r="E107" t="str">
            <v>Máy 3ng</v>
          </cell>
          <cell r="F107" t="str">
            <v>Hộp Uniaqua 350ml</v>
          </cell>
          <cell r="G107" t="str">
            <v>In các hộp lẻ (máy 3 người)</v>
          </cell>
          <cell r="H107">
            <v>15400711003</v>
          </cell>
          <cell r="I107" t="str">
            <v>1000 tờ</v>
          </cell>
          <cell r="K107">
            <v>1000202</v>
          </cell>
          <cell r="L107" t="str">
            <v>Các loại sản phẩm khác</v>
          </cell>
          <cell r="M107" t="str">
            <v>Tổ In offset</v>
          </cell>
          <cell r="N107">
            <v>3</v>
          </cell>
          <cell r="O107">
            <v>39.75</v>
          </cell>
          <cell r="P107">
            <v>4.96875</v>
          </cell>
          <cell r="Q107">
            <v>0.60377358490566035</v>
          </cell>
          <cell r="R107">
            <v>0.18131338886055867</v>
          </cell>
        </row>
        <row r="108">
          <cell r="C108" t="str">
            <v>Hộp Uniaqua 350ml Máy 2ng</v>
          </cell>
          <cell r="D108" t="str">
            <v>100056</v>
          </cell>
          <cell r="E108" t="str">
            <v>Máy 2ng</v>
          </cell>
          <cell r="F108" t="str">
            <v>Hộp Uniaqua 350ml</v>
          </cell>
          <cell r="G108" t="str">
            <v>In các hộp lẻ (máy 2 người)</v>
          </cell>
          <cell r="H108">
            <v>15400711004</v>
          </cell>
          <cell r="I108" t="str">
            <v>1000 tờ</v>
          </cell>
          <cell r="K108">
            <v>1000202</v>
          </cell>
          <cell r="L108" t="str">
            <v>Các loại sản phẩm khác</v>
          </cell>
          <cell r="M108" t="str">
            <v>Tổ In offset</v>
          </cell>
          <cell r="N108">
            <v>2</v>
          </cell>
          <cell r="O108">
            <v>34.980000000000004</v>
          </cell>
          <cell r="P108">
            <v>4.3725000000000005</v>
          </cell>
          <cell r="Q108">
            <v>0.45740423098913657</v>
          </cell>
          <cell r="R108">
            <v>0.13735862792466563</v>
          </cell>
        </row>
        <row r="109">
          <cell r="C109" t="str">
            <v>Hộp Uniaqua 500ml Máy 3ng</v>
          </cell>
          <cell r="D109" t="str">
            <v>100057</v>
          </cell>
          <cell r="E109" t="str">
            <v>Máy 3ng</v>
          </cell>
          <cell r="F109" t="str">
            <v>Hộp Uniaqua 500ml</v>
          </cell>
          <cell r="G109" t="str">
            <v>In các hộp lẻ (máy 3 người)</v>
          </cell>
          <cell r="H109">
            <v>15400711003</v>
          </cell>
          <cell r="I109" t="str">
            <v>1000 tờ</v>
          </cell>
          <cell r="K109">
            <v>1000203</v>
          </cell>
          <cell r="L109" t="str">
            <v>Các loại sản phẩm khác</v>
          </cell>
          <cell r="M109" t="str">
            <v>Tổ In offset</v>
          </cell>
          <cell r="N109">
            <v>3</v>
          </cell>
          <cell r="O109">
            <v>39.75</v>
          </cell>
          <cell r="P109">
            <v>4.96875</v>
          </cell>
          <cell r="Q109">
            <v>0.60377358490566035</v>
          </cell>
          <cell r="R109">
            <v>0.18131338886055867</v>
          </cell>
        </row>
        <row r="110">
          <cell r="C110" t="str">
            <v>Hộp Uniaqua 500ml Máy 2ng</v>
          </cell>
          <cell r="D110" t="str">
            <v>100058</v>
          </cell>
          <cell r="E110" t="str">
            <v>Máy 2ng</v>
          </cell>
          <cell r="F110" t="str">
            <v>Hộp Uniaqua 500ml</v>
          </cell>
          <cell r="G110" t="str">
            <v>In các hộp lẻ (máy 2 người)</v>
          </cell>
          <cell r="H110">
            <v>15400711004</v>
          </cell>
          <cell r="I110" t="str">
            <v>1000 tờ</v>
          </cell>
          <cell r="K110">
            <v>1000203</v>
          </cell>
          <cell r="L110" t="str">
            <v>Các loại sản phẩm khác</v>
          </cell>
          <cell r="M110" t="str">
            <v>Tổ In offset</v>
          </cell>
          <cell r="N110">
            <v>2</v>
          </cell>
          <cell r="O110">
            <v>34.980000000000004</v>
          </cell>
          <cell r="P110">
            <v>4.3725000000000005</v>
          </cell>
          <cell r="Q110">
            <v>0.45740423098913657</v>
          </cell>
          <cell r="R110">
            <v>0.13735862792466563</v>
          </cell>
        </row>
        <row r="111">
          <cell r="C111" t="str">
            <v>Hộp Light Sleek Máy 3ng</v>
          </cell>
          <cell r="D111" t="str">
            <v>100059</v>
          </cell>
          <cell r="E111" t="str">
            <v>Máy 3ng</v>
          </cell>
          <cell r="F111" t="str">
            <v>Hộp Light Sleek</v>
          </cell>
          <cell r="G111" t="str">
            <v>In các hộp lẻ (máy 3 người)</v>
          </cell>
          <cell r="H111">
            <v>15400711003</v>
          </cell>
          <cell r="I111" t="str">
            <v>1000 tờ</v>
          </cell>
          <cell r="K111">
            <v>10000</v>
          </cell>
          <cell r="L111" t="str">
            <v>Hộp 24 lon 330ml</v>
          </cell>
          <cell r="M111" t="str">
            <v>Tổ In offset</v>
          </cell>
          <cell r="N111">
            <v>3</v>
          </cell>
          <cell r="O111">
            <v>39.75</v>
          </cell>
          <cell r="P111">
            <v>4.96875</v>
          </cell>
          <cell r="Q111">
            <v>0.60377358490566035</v>
          </cell>
          <cell r="R111">
            <v>0.18131338886055867</v>
          </cell>
        </row>
        <row r="112">
          <cell r="C112" t="str">
            <v>Hộp Light Sleek Máy 2ng</v>
          </cell>
          <cell r="D112" t="str">
            <v>100060</v>
          </cell>
          <cell r="E112" t="str">
            <v>Máy 2ng</v>
          </cell>
          <cell r="F112" t="str">
            <v>Hộp Light Sleek</v>
          </cell>
          <cell r="G112" t="str">
            <v>In các hộp lẻ (máy 2 người)</v>
          </cell>
          <cell r="H112">
            <v>15400711004</v>
          </cell>
          <cell r="I112" t="str">
            <v>1000 tờ</v>
          </cell>
          <cell r="K112">
            <v>10000</v>
          </cell>
          <cell r="L112" t="str">
            <v>Hộp 24 lon 330ml</v>
          </cell>
          <cell r="M112" t="str">
            <v>Tổ In offset</v>
          </cell>
          <cell r="N112">
            <v>2</v>
          </cell>
          <cell r="O112">
            <v>34.980000000000004</v>
          </cell>
          <cell r="P112">
            <v>4.3725000000000005</v>
          </cell>
          <cell r="Q112">
            <v>0.45740423098913657</v>
          </cell>
          <cell r="R112">
            <v>0.13735862792466563</v>
          </cell>
        </row>
        <row r="113">
          <cell r="C113" t="str">
            <v>Hộp khóa TNAP 8082 Máy 3ng</v>
          </cell>
          <cell r="D113" t="str">
            <v>100061</v>
          </cell>
          <cell r="E113" t="str">
            <v>Máy 3ng</v>
          </cell>
          <cell r="F113" t="str">
            <v>Hộp khóa TNAP 8082</v>
          </cell>
          <cell r="G113" t="str">
            <v>In hộp lẻ (huy hoàng, tấm đậy)</v>
          </cell>
          <cell r="H113">
            <v>15400711008</v>
          </cell>
          <cell r="I113" t="str">
            <v>1000 tờ</v>
          </cell>
          <cell r="L113" t="str">
            <v>Các loại sản phẩm khác</v>
          </cell>
          <cell r="M113" t="str">
            <v>Tổ In offset</v>
          </cell>
          <cell r="N113">
            <v>3</v>
          </cell>
          <cell r="O113">
            <v>31.8</v>
          </cell>
          <cell r="P113">
            <v>3.9750000000000001</v>
          </cell>
          <cell r="Q113">
            <v>0.75471698113207542</v>
          </cell>
          <cell r="R113">
            <v>0.22664173607569832</v>
          </cell>
        </row>
        <row r="114">
          <cell r="C114" t="str">
            <v>Hộp khóa 704451 Máy 3ng</v>
          </cell>
          <cell r="D114" t="str">
            <v>100062</v>
          </cell>
          <cell r="E114" t="str">
            <v>Máy 3ng</v>
          </cell>
          <cell r="F114" t="str">
            <v>Hộp khóa 704451</v>
          </cell>
          <cell r="G114" t="str">
            <v>In hộp lẻ (huy hoàng, tấm đậy)</v>
          </cell>
          <cell r="H114">
            <v>15400711008</v>
          </cell>
          <cell r="I114" t="str">
            <v>1000 tờ</v>
          </cell>
          <cell r="L114" t="str">
            <v>Các loại sản phẩm khác</v>
          </cell>
          <cell r="M114" t="str">
            <v>Tổ In offset</v>
          </cell>
          <cell r="N114">
            <v>3</v>
          </cell>
          <cell r="O114">
            <v>31.8</v>
          </cell>
          <cell r="P114">
            <v>3.9750000000000001</v>
          </cell>
          <cell r="Q114">
            <v>0.75471698113207542</v>
          </cell>
          <cell r="R114">
            <v>0.22664173607569832</v>
          </cell>
        </row>
        <row r="115">
          <cell r="C115" t="str">
            <v>Hộp khóa EX7044AP Máy 3ng</v>
          </cell>
          <cell r="D115" t="str">
            <v>100063</v>
          </cell>
          <cell r="E115" t="str">
            <v>Máy 3ng</v>
          </cell>
          <cell r="F115" t="str">
            <v>Hộp khóa EX7044AP</v>
          </cell>
          <cell r="G115" t="str">
            <v>In hộp lẻ (huy hoàng, tấm đậy)</v>
          </cell>
          <cell r="H115">
            <v>15400711008</v>
          </cell>
          <cell r="I115" t="str">
            <v>1000 tờ</v>
          </cell>
          <cell r="L115" t="str">
            <v>Các loại sản phẩm khác</v>
          </cell>
          <cell r="M115" t="str">
            <v>Tổ In offset</v>
          </cell>
          <cell r="N115">
            <v>3</v>
          </cell>
          <cell r="O115">
            <v>31.8</v>
          </cell>
          <cell r="P115">
            <v>3.9750000000000001</v>
          </cell>
          <cell r="Q115">
            <v>0.75471698113207542</v>
          </cell>
          <cell r="R115">
            <v>0.22664173607569832</v>
          </cell>
        </row>
        <row r="116">
          <cell r="C116" t="str">
            <v>Tấm đậy két Light Máy 3ng</v>
          </cell>
          <cell r="D116" t="str">
            <v>100064</v>
          </cell>
          <cell r="E116" t="str">
            <v>Máy 3ng</v>
          </cell>
          <cell r="F116" t="str">
            <v>Tấm đậy két Light</v>
          </cell>
          <cell r="G116" t="str">
            <v>In hộp lẻ (huy hoàng, tấm đậy)</v>
          </cell>
          <cell r="H116">
            <v>15400711008</v>
          </cell>
          <cell r="I116" t="str">
            <v>1000 tờ</v>
          </cell>
          <cell r="K116">
            <v>1000204</v>
          </cell>
          <cell r="L116" t="str">
            <v>Các loại sản phẩm khác</v>
          </cell>
          <cell r="M116" t="str">
            <v>Tổ In offset</v>
          </cell>
          <cell r="N116">
            <v>3</v>
          </cell>
          <cell r="O116">
            <v>31.8</v>
          </cell>
          <cell r="P116">
            <v>3.9750000000000001</v>
          </cell>
          <cell r="Q116">
            <v>0.75471698113207542</v>
          </cell>
          <cell r="R116">
            <v>0.22664173607569832</v>
          </cell>
        </row>
        <row r="117">
          <cell r="C117" t="str">
            <v>Tấm đậy Trúc Bạch Máy 3ng</v>
          </cell>
          <cell r="D117" t="str">
            <v>100065</v>
          </cell>
          <cell r="E117" t="str">
            <v>Máy 3ng</v>
          </cell>
          <cell r="F117" t="str">
            <v>Tấm đậy Trúc Bạch</v>
          </cell>
          <cell r="G117" t="str">
            <v>In hộp lẻ (huy hoàng, tấm đậy)</v>
          </cell>
          <cell r="H117">
            <v>15400711008</v>
          </cell>
          <cell r="I117" t="str">
            <v>1000 tờ</v>
          </cell>
          <cell r="K117">
            <v>1000204</v>
          </cell>
          <cell r="L117" t="str">
            <v>Các loại sản phẩm khác</v>
          </cell>
          <cell r="M117" t="str">
            <v>Tổ In offset</v>
          </cell>
          <cell r="N117">
            <v>3</v>
          </cell>
          <cell r="O117">
            <v>31.8</v>
          </cell>
          <cell r="P117">
            <v>3.9750000000000001</v>
          </cell>
          <cell r="Q117">
            <v>0.75471698113207542</v>
          </cell>
          <cell r="R117">
            <v>0.22664173607569832</v>
          </cell>
        </row>
        <row r="118">
          <cell r="C118" t="str">
            <v>Xách 6 lon Hà Nội vàng Máy 3ng</v>
          </cell>
          <cell r="D118" t="str">
            <v>100066</v>
          </cell>
          <cell r="E118" t="str">
            <v>Máy 3ng</v>
          </cell>
          <cell r="F118" t="str">
            <v>Xách 6 lon Hà Nội vàng</v>
          </cell>
          <cell r="G118" t="str">
            <v>In hộp lẻ (huy hoàng, tấm đậy)</v>
          </cell>
          <cell r="H118">
            <v>15400711008</v>
          </cell>
          <cell r="I118" t="str">
            <v>1000 tờ</v>
          </cell>
          <cell r="K118">
            <v>1000204</v>
          </cell>
          <cell r="L118" t="str">
            <v>Các loại sản phẩm khác</v>
          </cell>
          <cell r="M118" t="str">
            <v>Tổ In offset</v>
          </cell>
          <cell r="N118">
            <v>3</v>
          </cell>
          <cell r="O118">
            <v>31.8</v>
          </cell>
          <cell r="P118">
            <v>3.9750000000000001</v>
          </cell>
          <cell r="Q118">
            <v>0.75471698113207542</v>
          </cell>
          <cell r="R118">
            <v>0.22664173607569832</v>
          </cell>
        </row>
        <row r="119">
          <cell r="C119" t="str">
            <v>Xách 6 lon Premium Sleek Máy 3ng</v>
          </cell>
          <cell r="D119" t="str">
            <v>100067</v>
          </cell>
          <cell r="E119" t="str">
            <v>Máy 3ng</v>
          </cell>
          <cell r="F119" t="str">
            <v>Xách 6 lon Premium Sleek</v>
          </cell>
          <cell r="G119" t="str">
            <v>In hộp lẻ (huy hoàng, tấm đậy)</v>
          </cell>
          <cell r="H119">
            <v>15400711008</v>
          </cell>
          <cell r="I119" t="str">
            <v>1000 tờ</v>
          </cell>
          <cell r="K119">
            <v>1000204</v>
          </cell>
          <cell r="L119" t="str">
            <v>Các loại sản phẩm khác</v>
          </cell>
          <cell r="M119" t="str">
            <v>Tổ In offset</v>
          </cell>
          <cell r="N119">
            <v>3</v>
          </cell>
          <cell r="O119">
            <v>31.8</v>
          </cell>
          <cell r="P119">
            <v>3.9750000000000001</v>
          </cell>
          <cell r="Q119">
            <v>0.75471698113207542</v>
          </cell>
          <cell r="R119">
            <v>0.22664173607569832</v>
          </cell>
        </row>
        <row r="120">
          <cell r="C120" t="str">
            <v>Hộp Thaber 24 lon Máy 2ng</v>
          </cell>
          <cell r="D120" t="str">
            <v>100068</v>
          </cell>
          <cell r="E120" t="str">
            <v>Máy 2ng</v>
          </cell>
          <cell r="F120" t="str">
            <v>Hộp Thaber 24 lon</v>
          </cell>
          <cell r="G120" t="str">
            <v>In các hộp lẻ (máy 2 người)</v>
          </cell>
          <cell r="H120">
            <v>15400711004</v>
          </cell>
          <cell r="I120" t="str">
            <v>1000 tờ</v>
          </cell>
          <cell r="K120">
            <v>10000</v>
          </cell>
          <cell r="L120" t="str">
            <v>Hộp 24 lon 330ml</v>
          </cell>
          <cell r="M120" t="str">
            <v>Tổ In offset</v>
          </cell>
          <cell r="N120">
            <v>2</v>
          </cell>
          <cell r="O120">
            <v>34.980000000000004</v>
          </cell>
          <cell r="P120">
            <v>4.3725000000000005</v>
          </cell>
          <cell r="Q120">
            <v>0.45740423098913657</v>
          </cell>
          <cell r="R120">
            <v>0.13735862792466563</v>
          </cell>
        </row>
        <row r="121">
          <cell r="C121" t="str">
            <v>Hộp Thaber 24 lon Máy 3ng</v>
          </cell>
          <cell r="D121" t="str">
            <v>100069</v>
          </cell>
          <cell r="E121" t="str">
            <v>Máy 3ng</v>
          </cell>
          <cell r="F121" t="str">
            <v>Hộp Thaber 24 lon</v>
          </cell>
          <cell r="G121" t="str">
            <v>In các hộp lẻ (máy 3 người)</v>
          </cell>
          <cell r="H121">
            <v>15400711003</v>
          </cell>
          <cell r="I121" t="str">
            <v>1000 tờ</v>
          </cell>
          <cell r="K121">
            <v>10000</v>
          </cell>
          <cell r="L121" t="str">
            <v>Hộp 24 lon 330ml</v>
          </cell>
          <cell r="M121" t="str">
            <v>Tổ In offset</v>
          </cell>
          <cell r="N121">
            <v>3</v>
          </cell>
          <cell r="O121">
            <v>39.75</v>
          </cell>
          <cell r="P121">
            <v>4.96875</v>
          </cell>
          <cell r="Q121">
            <v>0.60377358490566035</v>
          </cell>
          <cell r="R121">
            <v>0.18131338886055867</v>
          </cell>
        </row>
        <row r="122">
          <cell r="C122" t="str">
            <v>Sản phẩm tính lương thời gian Máy In Offset</v>
          </cell>
          <cell r="D122" t="str">
            <v>SXSP</v>
          </cell>
          <cell r="E122" t="str">
            <v>Máy In Offset</v>
          </cell>
          <cell r="F122" t="str">
            <v>Sản phẩm tính lương thời gian</v>
          </cell>
          <cell r="I122" t="str">
            <v>h</v>
          </cell>
        </row>
        <row r="123">
          <cell r="C123" t="str">
            <v>Vệ sinh máy đầu tuần Máy In Offset</v>
          </cell>
          <cell r="D123" t="str">
            <v>VSM</v>
          </cell>
          <cell r="E123" t="str">
            <v>Máy In Offset</v>
          </cell>
          <cell r="F123" t="str">
            <v>Vệ sinh máy đầu tuần</v>
          </cell>
          <cell r="I123" t="str">
            <v>h</v>
          </cell>
        </row>
        <row r="124">
          <cell r="C124" t="str">
            <v>Sửa máy Máy In Offset</v>
          </cell>
          <cell r="D124" t="str">
            <v>SM</v>
          </cell>
          <cell r="E124" t="str">
            <v>Máy In Offset</v>
          </cell>
          <cell r="F124" t="str">
            <v>Sửa máy</v>
          </cell>
          <cell r="I124" t="str">
            <v>h</v>
          </cell>
        </row>
        <row r="125">
          <cell r="C125" t="str">
            <v>Bảo dưỡng máy Máy In Offset</v>
          </cell>
          <cell r="D125" t="str">
            <v>BDM</v>
          </cell>
          <cell r="E125" t="str">
            <v>Máy In Offset</v>
          </cell>
          <cell r="F125" t="str">
            <v>Bảo dưỡng máy</v>
          </cell>
          <cell r="I125" t="str">
            <v>h</v>
          </cell>
        </row>
        <row r="126">
          <cell r="C126" t="str">
            <v>Công việc khác Máy In Offset</v>
          </cell>
          <cell r="D126" t="str">
            <v>CVK</v>
          </cell>
          <cell r="E126" t="str">
            <v>Máy In Offset</v>
          </cell>
          <cell r="F126" t="str">
            <v>Công việc khác</v>
          </cell>
          <cell r="I126" t="str">
            <v>h</v>
          </cell>
        </row>
        <row r="127">
          <cell r="C127" t="str">
            <v>Chuẩn bị máy theo định mức Máy In Offset</v>
          </cell>
          <cell r="D127" t="str">
            <v>TGĐM</v>
          </cell>
          <cell r="E127" t="str">
            <v>Máy In Offset</v>
          </cell>
          <cell r="F127" t="str">
            <v>Chuẩn bị máy theo định mức</v>
          </cell>
          <cell r="I127" t="str">
            <v>h</v>
          </cell>
        </row>
        <row r="128">
          <cell r="C128" t="str">
            <v>Chạy mẫu Máy In Offset</v>
          </cell>
          <cell r="D128" t="str">
            <v>CMAU</v>
          </cell>
          <cell r="E128" t="str">
            <v>Máy In Offset</v>
          </cell>
          <cell r="F128" t="str">
            <v>Chạy mẫu</v>
          </cell>
          <cell r="I128" t="str">
            <v>h</v>
          </cell>
        </row>
        <row r="129">
          <cell r="C129" t="str">
            <v>Chờ việc Máy In Offset</v>
          </cell>
          <cell r="D129" t="str">
            <v>CV</v>
          </cell>
          <cell r="E129" t="str">
            <v>Máy In Offset</v>
          </cell>
          <cell r="F129" t="str">
            <v>Chờ việc</v>
          </cell>
          <cell r="I129" t="str">
            <v>h</v>
          </cell>
        </row>
        <row r="130">
          <cell r="F130" t="str">
            <v>Tổ bồi</v>
          </cell>
        </row>
        <row r="131">
          <cell r="C131" t="str">
            <v>Bồi: hộp bia HN Máy 3ng</v>
          </cell>
          <cell r="D131">
            <v>102001</v>
          </cell>
          <cell r="E131" t="str">
            <v>Máy 3ng</v>
          </cell>
          <cell r="F131" t="str">
            <v>Bồi: hộp bia HN</v>
          </cell>
          <cell r="G131" t="str">
            <v>Bồi: hộp các loại ( 24 lon, Sleek, 12 lon)</v>
          </cell>
          <cell r="H131">
            <v>15400701001</v>
          </cell>
          <cell r="I131" t="str">
            <v>1000 Tờ</v>
          </cell>
          <cell r="K131">
            <v>10200</v>
          </cell>
          <cell r="L131" t="str">
            <v>Hộp 24 lon 330ml</v>
          </cell>
          <cell r="M131" t="str">
            <v xml:space="preserve">Tổ Bồi </v>
          </cell>
          <cell r="N131">
            <v>3</v>
          </cell>
          <cell r="O131">
            <v>25.3</v>
          </cell>
          <cell r="P131">
            <v>3.1625000000000001</v>
          </cell>
          <cell r="Q131">
            <v>0.9486166007905138</v>
          </cell>
          <cell r="R131">
            <v>0.28486985008724136</v>
          </cell>
        </row>
        <row r="132">
          <cell r="C132" t="str">
            <v>Bồi: hộp bia HN Tết Máy 3ng</v>
          </cell>
          <cell r="D132" t="str">
            <v>102002</v>
          </cell>
          <cell r="E132" t="str">
            <v>Máy 3ng</v>
          </cell>
          <cell r="F132" t="str">
            <v>Bồi: hộp bia HN Tết</v>
          </cell>
          <cell r="G132" t="str">
            <v>Bồi: hộp các loại ( 24 lon, Sleek, 12 lon)</v>
          </cell>
          <cell r="H132">
            <v>15400701001</v>
          </cell>
          <cell r="I132" t="str">
            <v>1000 Tờ</v>
          </cell>
          <cell r="K132">
            <v>10200</v>
          </cell>
          <cell r="L132" t="str">
            <v>Hộp 24 lon 330ml</v>
          </cell>
          <cell r="M132" t="str">
            <v xml:space="preserve">Tổ Bồi </v>
          </cell>
          <cell r="N132">
            <v>3</v>
          </cell>
          <cell r="O132">
            <v>25.3</v>
          </cell>
          <cell r="P132">
            <v>3.1625000000000001</v>
          </cell>
          <cell r="Q132">
            <v>0.9486166007905138</v>
          </cell>
          <cell r="R132">
            <v>0.28486985008724136</v>
          </cell>
        </row>
        <row r="133">
          <cell r="C133" t="str">
            <v>Bồi: hộp Thabrew 24 lon Máy 3ng</v>
          </cell>
          <cell r="D133" t="str">
            <v>102003</v>
          </cell>
          <cell r="E133" t="str">
            <v>Máy 3ng</v>
          </cell>
          <cell r="F133" t="str">
            <v>Bồi: hộp Thabrew 24 lon</v>
          </cell>
          <cell r="G133" t="str">
            <v>Bồi: hộp các loại ( 24 lon, Sleek, 12 lon)</v>
          </cell>
          <cell r="H133">
            <v>15400701001</v>
          </cell>
          <cell r="I133" t="str">
            <v>1000 Tờ</v>
          </cell>
          <cell r="K133">
            <v>10200</v>
          </cell>
          <cell r="L133" t="str">
            <v>Hộp 24 lon 330ml</v>
          </cell>
          <cell r="M133" t="str">
            <v xml:space="preserve">Tổ Bồi </v>
          </cell>
          <cell r="N133">
            <v>3</v>
          </cell>
          <cell r="O133">
            <v>25.3</v>
          </cell>
          <cell r="P133">
            <v>3.1625000000000001</v>
          </cell>
          <cell r="Q133">
            <v>0.9486166007905138</v>
          </cell>
          <cell r="R133">
            <v>0.28486985008724136</v>
          </cell>
        </row>
        <row r="134">
          <cell r="C134" t="str">
            <v>Bồi: hộp bia carton 330ml Máy 3ng</v>
          </cell>
          <cell r="D134" t="str">
            <v>102004</v>
          </cell>
          <cell r="E134" t="str">
            <v>Máy 3ng</v>
          </cell>
          <cell r="F134" t="str">
            <v>Bồi: hộp bia carton 330ml</v>
          </cell>
          <cell r="G134" t="str">
            <v>Bồi: hộp các loại ( 24 lon, Sleek, 12 lon)</v>
          </cell>
          <cell r="H134">
            <v>15400701001</v>
          </cell>
          <cell r="I134" t="str">
            <v>1000 Tờ</v>
          </cell>
          <cell r="K134">
            <v>10200</v>
          </cell>
          <cell r="L134" t="str">
            <v>Hộp 24 lon 330ml</v>
          </cell>
          <cell r="M134" t="str">
            <v xml:space="preserve">Tổ Bồi </v>
          </cell>
          <cell r="N134">
            <v>3</v>
          </cell>
          <cell r="O134">
            <v>25.3</v>
          </cell>
          <cell r="P134">
            <v>3.1625000000000001</v>
          </cell>
          <cell r="Q134">
            <v>0.9486166007905138</v>
          </cell>
          <cell r="R134">
            <v>0.28486985008724136</v>
          </cell>
        </row>
        <row r="135">
          <cell r="C135" t="str">
            <v>Bồi: hộp HN 65 năm Máy 3ng</v>
          </cell>
          <cell r="D135" t="str">
            <v>102005</v>
          </cell>
          <cell r="E135" t="str">
            <v>Máy 3ng</v>
          </cell>
          <cell r="F135" t="str">
            <v>Bồi: hộp HN 65 năm</v>
          </cell>
          <cell r="G135" t="str">
            <v>Bồi: hộp các loại ( 24 lon, Sleek, 12 lon)</v>
          </cell>
          <cell r="H135">
            <v>15400701001</v>
          </cell>
          <cell r="I135" t="str">
            <v>1000 Tờ</v>
          </cell>
          <cell r="K135">
            <v>10200</v>
          </cell>
          <cell r="L135" t="str">
            <v>Hộp 24 lon 330ml</v>
          </cell>
          <cell r="M135" t="str">
            <v xml:space="preserve">Tổ Bồi </v>
          </cell>
          <cell r="N135">
            <v>3</v>
          </cell>
          <cell r="O135">
            <v>25.3</v>
          </cell>
          <cell r="P135">
            <v>3.1625000000000001</v>
          </cell>
          <cell r="Q135">
            <v>0.9486166007905138</v>
          </cell>
          <cell r="R135">
            <v>0.28486985008724136</v>
          </cell>
        </row>
        <row r="136">
          <cell r="C136" t="str">
            <v>Bồi: hộp Thabrew 24 lon Tết Máy 3ng</v>
          </cell>
          <cell r="D136" t="str">
            <v>102006</v>
          </cell>
          <cell r="E136" t="str">
            <v>Máy 3ng</v>
          </cell>
          <cell r="F136" t="str">
            <v>Bồi: hộp Thabrew 24 lon Tết</v>
          </cell>
          <cell r="G136" t="str">
            <v>Bồi: hộp các loại ( 24 lon, Sleek, 12 lon)</v>
          </cell>
          <cell r="H136">
            <v>15400701001</v>
          </cell>
          <cell r="I136" t="str">
            <v>1000 Tờ</v>
          </cell>
          <cell r="K136">
            <v>10200</v>
          </cell>
          <cell r="L136" t="str">
            <v>Hộp 24 lon 330ml</v>
          </cell>
          <cell r="M136" t="str">
            <v xml:space="preserve">Tổ Bồi </v>
          </cell>
          <cell r="N136">
            <v>3</v>
          </cell>
          <cell r="O136">
            <v>25.3</v>
          </cell>
          <cell r="P136">
            <v>3.1625000000000001</v>
          </cell>
          <cell r="Q136">
            <v>0.9486166007905138</v>
          </cell>
          <cell r="R136">
            <v>0.28486985008724136</v>
          </cell>
        </row>
        <row r="137">
          <cell r="C137" t="str">
            <v>Bồi: hộp Thanh Hoa 24 lon Tết Máy 3ng</v>
          </cell>
          <cell r="D137" t="str">
            <v>102007</v>
          </cell>
          <cell r="E137" t="str">
            <v>Máy 3ng</v>
          </cell>
          <cell r="F137" t="str">
            <v>Bồi: hộp Thanh Hoa 24 lon Tết</v>
          </cell>
          <cell r="G137" t="str">
            <v>Bồi: hộp các loại ( 24 lon, Sleek, 12 lon)</v>
          </cell>
          <cell r="H137">
            <v>15400701001</v>
          </cell>
          <cell r="I137" t="str">
            <v>1000 Tờ</v>
          </cell>
          <cell r="K137">
            <v>10200</v>
          </cell>
          <cell r="L137" t="str">
            <v>Hộp 24 lon 330ml</v>
          </cell>
          <cell r="M137" t="str">
            <v xml:space="preserve">Tổ Bồi </v>
          </cell>
          <cell r="N137">
            <v>3</v>
          </cell>
          <cell r="O137">
            <v>25.3</v>
          </cell>
          <cell r="P137">
            <v>3.1625000000000001</v>
          </cell>
          <cell r="Q137">
            <v>0.9486166007905138</v>
          </cell>
          <cell r="R137">
            <v>0.28486985008724136</v>
          </cell>
        </row>
        <row r="138">
          <cell r="C138" t="str">
            <v>Bồi: hộp Light Sleek Máy 3ng</v>
          </cell>
          <cell r="D138" t="str">
            <v>102008</v>
          </cell>
          <cell r="E138" t="str">
            <v>Máy 3ng</v>
          </cell>
          <cell r="F138" t="str">
            <v>Bồi: hộp Light Sleek</v>
          </cell>
          <cell r="G138" t="str">
            <v>Bồi: hộp các loại ( 24 lon, Sleek, 12 lon)</v>
          </cell>
          <cell r="H138">
            <v>15400701001</v>
          </cell>
          <cell r="I138" t="str">
            <v>1000 Tờ</v>
          </cell>
          <cell r="K138">
            <v>10200</v>
          </cell>
          <cell r="L138" t="str">
            <v>Hộp 24 lon 330ml</v>
          </cell>
          <cell r="M138" t="str">
            <v xml:space="preserve">Tổ Bồi </v>
          </cell>
          <cell r="N138">
            <v>3</v>
          </cell>
          <cell r="O138">
            <v>25.3</v>
          </cell>
          <cell r="P138">
            <v>3.1625000000000001</v>
          </cell>
          <cell r="Q138">
            <v>0.9486166007905138</v>
          </cell>
          <cell r="R138">
            <v>0.28486985008724136</v>
          </cell>
        </row>
        <row r="139">
          <cell r="C139" t="str">
            <v>Bồi: hộp bia HN xanh  Máy 3ng</v>
          </cell>
          <cell r="D139" t="str">
            <v>102009</v>
          </cell>
          <cell r="E139" t="str">
            <v>Máy 3ng</v>
          </cell>
          <cell r="F139" t="str">
            <v xml:space="preserve">Bồi: hộp bia HN xanh </v>
          </cell>
          <cell r="G139" t="str">
            <v>Bồi: hộp các loại ( 24 lon, Sleek, 12 lon)</v>
          </cell>
          <cell r="H139">
            <v>15400701001</v>
          </cell>
          <cell r="I139" t="str">
            <v>1000 Tờ</v>
          </cell>
          <cell r="K139">
            <v>10200</v>
          </cell>
          <cell r="L139" t="str">
            <v>Hộp 24 lon 330ml</v>
          </cell>
          <cell r="M139" t="str">
            <v xml:space="preserve">Tổ Bồi </v>
          </cell>
          <cell r="N139">
            <v>3</v>
          </cell>
          <cell r="O139">
            <v>25.3</v>
          </cell>
          <cell r="P139">
            <v>3.1625000000000001</v>
          </cell>
          <cell r="Q139">
            <v>0.9486166007905138</v>
          </cell>
          <cell r="R139">
            <v>0.28486985008724136</v>
          </cell>
        </row>
        <row r="140">
          <cell r="C140" t="str">
            <v>Bồi: hộp Premium  Máy 3ng</v>
          </cell>
          <cell r="D140" t="str">
            <v>102010</v>
          </cell>
          <cell r="E140" t="str">
            <v>Máy 3ng</v>
          </cell>
          <cell r="F140" t="str">
            <v xml:space="preserve">Bồi: hộp Premium </v>
          </cell>
          <cell r="G140" t="str">
            <v>Bồi: hộp các loại ( 24 lon, Sleek, 12 lon)</v>
          </cell>
          <cell r="H140">
            <v>15400701001</v>
          </cell>
          <cell r="I140" t="str">
            <v>1000 Tờ</v>
          </cell>
          <cell r="K140">
            <v>10200</v>
          </cell>
          <cell r="L140" t="str">
            <v>Hộp 24 lon 330ml</v>
          </cell>
          <cell r="M140" t="str">
            <v xml:space="preserve">Tổ Bồi </v>
          </cell>
          <cell r="N140">
            <v>3</v>
          </cell>
          <cell r="O140">
            <v>25.3</v>
          </cell>
          <cell r="P140">
            <v>3.1625000000000001</v>
          </cell>
          <cell r="Q140">
            <v>0.9486166007905138</v>
          </cell>
          <cell r="R140">
            <v>0.28486985008724136</v>
          </cell>
        </row>
        <row r="141">
          <cell r="C141" t="str">
            <v>Bồi: hộp Premium Sleek Máy 3ng</v>
          </cell>
          <cell r="D141" t="str">
            <v>102011</v>
          </cell>
          <cell r="E141" t="str">
            <v>Máy 3ng</v>
          </cell>
          <cell r="F141" t="str">
            <v>Bồi: hộp Premium Sleek</v>
          </cell>
          <cell r="G141" t="str">
            <v>Bồi: hộp các loại ( 24 lon, Sleek, 12 lon)</v>
          </cell>
          <cell r="H141">
            <v>15400701001</v>
          </cell>
          <cell r="I141" t="str">
            <v>1000 Tờ</v>
          </cell>
          <cell r="K141">
            <v>10200</v>
          </cell>
          <cell r="L141" t="str">
            <v>Hộp 24 lon 330ml</v>
          </cell>
          <cell r="M141" t="str">
            <v xml:space="preserve">Tổ Bồi </v>
          </cell>
          <cell r="N141">
            <v>3</v>
          </cell>
          <cell r="O141">
            <v>25.3</v>
          </cell>
          <cell r="P141">
            <v>3.1625000000000001</v>
          </cell>
          <cell r="Q141">
            <v>0.9486166007905138</v>
          </cell>
          <cell r="R141">
            <v>0.28486985008724136</v>
          </cell>
        </row>
        <row r="142">
          <cell r="C142" t="str">
            <v>Bồi hộp Thabrew Silver Blue Máy 3ng</v>
          </cell>
          <cell r="D142" t="str">
            <v>102012</v>
          </cell>
          <cell r="E142" t="str">
            <v>Máy 3ng</v>
          </cell>
          <cell r="F142" t="str">
            <v>Bồi hộp Thabrew Silver Blue</v>
          </cell>
          <cell r="G142" t="str">
            <v>Bồi: hộp các loại ( 24 lon, Sleek, 12 lon)</v>
          </cell>
          <cell r="H142">
            <v>15400701001</v>
          </cell>
          <cell r="I142" t="str">
            <v>1000 Tờ</v>
          </cell>
          <cell r="K142">
            <v>10200</v>
          </cell>
          <cell r="L142" t="str">
            <v>Hộp 24 lon 330ml</v>
          </cell>
          <cell r="M142" t="str">
            <v xml:space="preserve">Tổ Bồi </v>
          </cell>
          <cell r="N142">
            <v>3</v>
          </cell>
          <cell r="O142">
            <v>25.3</v>
          </cell>
          <cell r="P142">
            <v>3.1625000000000001</v>
          </cell>
          <cell r="Q142">
            <v>0.9486166007905138</v>
          </cell>
          <cell r="R142">
            <v>0.28486985008724136</v>
          </cell>
        </row>
        <row r="143">
          <cell r="C143" t="str">
            <v>Bồi: hộp Thanh Hoa Máy 3ng</v>
          </cell>
          <cell r="D143" t="str">
            <v>102013</v>
          </cell>
          <cell r="E143" t="str">
            <v>Máy 3ng</v>
          </cell>
          <cell r="F143" t="str">
            <v>Bồi: hộp Thanh Hoa</v>
          </cell>
          <cell r="G143" t="str">
            <v>Bồi: hộp các loại ( 24 lon, Sleek, 12 lon)</v>
          </cell>
          <cell r="H143">
            <v>15400701001</v>
          </cell>
          <cell r="I143" t="str">
            <v>1000 Tờ</v>
          </cell>
          <cell r="K143">
            <v>10200</v>
          </cell>
          <cell r="L143" t="str">
            <v>Hộp 24 lon 330ml</v>
          </cell>
          <cell r="M143" t="str">
            <v xml:space="preserve">Tổ Bồi </v>
          </cell>
          <cell r="N143">
            <v>3</v>
          </cell>
          <cell r="O143">
            <v>25.3</v>
          </cell>
          <cell r="P143">
            <v>3.1625000000000001</v>
          </cell>
          <cell r="Q143">
            <v>0.9486166007905138</v>
          </cell>
          <cell r="R143">
            <v>0.28486985008724136</v>
          </cell>
        </row>
        <row r="144">
          <cell r="C144" t="str">
            <v>Bồi: hộp bia HN- KM hè Máy 3ng</v>
          </cell>
          <cell r="D144" t="str">
            <v>102014</v>
          </cell>
          <cell r="E144" t="str">
            <v>Máy 3ng</v>
          </cell>
          <cell r="F144" t="str">
            <v>Bồi: hộp bia HN- KM hè</v>
          </cell>
          <cell r="G144" t="str">
            <v>Bồi: hộp các loại ( 24 lon, Sleek, 12 lon)</v>
          </cell>
          <cell r="H144">
            <v>15400701001</v>
          </cell>
          <cell r="I144" t="str">
            <v>1000 Tờ</v>
          </cell>
          <cell r="K144">
            <v>10200</v>
          </cell>
          <cell r="L144" t="str">
            <v>Hộp 24 lon 330ml</v>
          </cell>
          <cell r="M144" t="str">
            <v xml:space="preserve">Tổ Bồi </v>
          </cell>
          <cell r="N144">
            <v>3</v>
          </cell>
          <cell r="O144">
            <v>25.3</v>
          </cell>
          <cell r="P144">
            <v>3.1625000000000001</v>
          </cell>
          <cell r="Q144">
            <v>0.9486166007905138</v>
          </cell>
          <cell r="R144">
            <v>0.28486985008724136</v>
          </cell>
        </row>
        <row r="145">
          <cell r="C145" t="str">
            <v>Bồi hộp Trúc bạch Sleek Máy 3ng</v>
          </cell>
          <cell r="D145" t="str">
            <v>102015</v>
          </cell>
          <cell r="E145" t="str">
            <v>Máy 3ng</v>
          </cell>
          <cell r="F145" t="str">
            <v>Bồi hộp Trúc bạch Sleek</v>
          </cell>
          <cell r="G145" t="str">
            <v>Bồi: hộp các loại ( 24 lon, Sleek, 12 lon)</v>
          </cell>
          <cell r="H145">
            <v>15400701001</v>
          </cell>
          <cell r="I145" t="str">
            <v>1000 Tờ</v>
          </cell>
          <cell r="K145">
            <v>10200</v>
          </cell>
          <cell r="L145" t="str">
            <v>Hộp 24 lon 330ml</v>
          </cell>
          <cell r="M145" t="str">
            <v xml:space="preserve">Tổ Bồi </v>
          </cell>
          <cell r="N145">
            <v>3</v>
          </cell>
          <cell r="O145">
            <v>25.3</v>
          </cell>
          <cell r="P145">
            <v>3.1625000000000001</v>
          </cell>
          <cell r="Q145">
            <v>0.9486166007905138</v>
          </cell>
          <cell r="R145">
            <v>0.28486985008724136</v>
          </cell>
        </row>
        <row r="146">
          <cell r="C146" t="str">
            <v>Bồi hộp Bold Sleek Máy 3ng</v>
          </cell>
          <cell r="D146" t="str">
            <v>102016</v>
          </cell>
          <cell r="E146" t="str">
            <v>Máy 3ng</v>
          </cell>
          <cell r="F146" t="str">
            <v>Bồi hộp Bold Sleek</v>
          </cell>
          <cell r="G146" t="str">
            <v>Bồi: hộp các loại ( 24 lon, Sleek, 12 lon)</v>
          </cell>
          <cell r="H146">
            <v>15400701001</v>
          </cell>
          <cell r="I146" t="str">
            <v>1000 Tờ</v>
          </cell>
          <cell r="K146">
            <v>10200</v>
          </cell>
          <cell r="L146" t="str">
            <v>Hộp 24 lon 330ml</v>
          </cell>
          <cell r="M146" t="str">
            <v xml:space="preserve">Tổ Bồi </v>
          </cell>
          <cell r="N146">
            <v>3</v>
          </cell>
          <cell r="O146">
            <v>25.3</v>
          </cell>
          <cell r="P146">
            <v>3.1625000000000001</v>
          </cell>
          <cell r="Q146">
            <v>0.9486166007905138</v>
          </cell>
          <cell r="R146">
            <v>0.28486985008724136</v>
          </cell>
        </row>
        <row r="147">
          <cell r="C147" t="str">
            <v>Bồi: tấm đậy xách craft Máy 3ng</v>
          </cell>
          <cell r="D147" t="str">
            <v>102017</v>
          </cell>
          <cell r="E147" t="str">
            <v>Máy 3ng</v>
          </cell>
          <cell r="F147" t="str">
            <v>Bồi: tấm đậy xách craft</v>
          </cell>
          <cell r="G147" t="str">
            <v>Bồi: hộp các loại ( 24 lon, Sleek, 12 lon)</v>
          </cell>
          <cell r="H147">
            <v>15400701001</v>
          </cell>
          <cell r="I147" t="str">
            <v>1000 Tờ</v>
          </cell>
          <cell r="K147">
            <v>1020204</v>
          </cell>
          <cell r="L147" t="str">
            <v>Các loại sản phẩm khác</v>
          </cell>
          <cell r="M147" t="str">
            <v xml:space="preserve">Tổ Bồi </v>
          </cell>
          <cell r="N147">
            <v>3</v>
          </cell>
          <cell r="O147">
            <v>25.3</v>
          </cell>
          <cell r="P147">
            <v>3.1625000000000001</v>
          </cell>
          <cell r="Q147">
            <v>0.9486166007905138</v>
          </cell>
          <cell r="R147">
            <v>0.28486985008724136</v>
          </cell>
        </row>
        <row r="148">
          <cell r="C148" t="str">
            <v>Bồi: xách Trúc Bạch 12 lon 500ml Máy 3ng</v>
          </cell>
          <cell r="D148" t="str">
            <v>102018</v>
          </cell>
          <cell r="E148" t="str">
            <v>Máy 3ng</v>
          </cell>
          <cell r="F148" t="str">
            <v>Bồi: xách Trúc Bạch 12 lon 500ml</v>
          </cell>
          <cell r="G148" t="str">
            <v>Bồi: hộp các loại khổ lớn hơn khổ 24 lon( hộp trưng bày, xách 12 lon TB)</v>
          </cell>
          <cell r="H148">
            <v>15400701002</v>
          </cell>
          <cell r="I148" t="str">
            <v>1000 Tờ</v>
          </cell>
          <cell r="K148">
            <v>1020206</v>
          </cell>
          <cell r="L148" t="str">
            <v>Các loại sản phẩm khác</v>
          </cell>
          <cell r="M148" t="str">
            <v xml:space="preserve">Tổ Bồi </v>
          </cell>
          <cell r="N148">
            <v>3</v>
          </cell>
          <cell r="O148">
            <v>16.5</v>
          </cell>
          <cell r="P148">
            <v>2.0625</v>
          </cell>
          <cell r="Q148">
            <v>1.4545454545454546</v>
          </cell>
          <cell r="R148">
            <v>0.43680043680043679</v>
          </cell>
        </row>
        <row r="149">
          <cell r="C149" t="str">
            <v>Bồi: khay Patition box moon cake Máy 3ng</v>
          </cell>
          <cell r="D149" t="str">
            <v>102019</v>
          </cell>
          <cell r="E149" t="str">
            <v>Máy 3ng</v>
          </cell>
          <cell r="F149" t="str">
            <v>Bồi: khay Patition box moon cake</v>
          </cell>
          <cell r="G149" t="str">
            <v>Bồi: hộp các loại khổ lớn hơn khổ 24 lon( hộp trưng bày, xách 12 lon TB)</v>
          </cell>
          <cell r="H149">
            <v>15400701002</v>
          </cell>
          <cell r="I149" t="str">
            <v>1000 Tờ</v>
          </cell>
          <cell r="L149" t="str">
            <v>Các loại sản phẩm khác</v>
          </cell>
          <cell r="M149" t="str">
            <v xml:space="preserve">Tổ Bồi </v>
          </cell>
          <cell r="N149">
            <v>3</v>
          </cell>
          <cell r="O149">
            <v>16.5</v>
          </cell>
          <cell r="P149">
            <v>2.0625</v>
          </cell>
          <cell r="Q149">
            <v>1.4545454545454546</v>
          </cell>
          <cell r="R149">
            <v>0.43680043680043679</v>
          </cell>
        </row>
        <row r="150">
          <cell r="C150" t="str">
            <v>Bồi: hộp bia TRB-Hải phòng Máy 3ng</v>
          </cell>
          <cell r="D150" t="str">
            <v>102020</v>
          </cell>
          <cell r="E150" t="str">
            <v>Máy 3ng</v>
          </cell>
          <cell r="F150" t="str">
            <v>Bồi: hộp bia TRB-Hải phòng</v>
          </cell>
          <cell r="G150" t="str">
            <v>Bồi: hộp các loại khổ lớn hơn khổ 24 lon( hộp trưng bày, xách 12 lon TB)</v>
          </cell>
          <cell r="H150">
            <v>15400701002</v>
          </cell>
          <cell r="I150" t="str">
            <v>1000 Tờ</v>
          </cell>
          <cell r="K150">
            <v>1020201</v>
          </cell>
          <cell r="L150" t="str">
            <v>Các loại sản phẩm khác</v>
          </cell>
          <cell r="M150" t="str">
            <v xml:space="preserve">Tổ Bồi </v>
          </cell>
          <cell r="N150">
            <v>3</v>
          </cell>
          <cell r="O150">
            <v>16.5</v>
          </cell>
          <cell r="P150">
            <v>2.0625</v>
          </cell>
          <cell r="Q150">
            <v>1.4545454545454546</v>
          </cell>
          <cell r="R150">
            <v>0.43680043680043679</v>
          </cell>
        </row>
        <row r="151">
          <cell r="C151" t="str">
            <v>Bồi: hộp bia TRB-HN xanh vàng Máy 3ng</v>
          </cell>
          <cell r="D151" t="str">
            <v>102021</v>
          </cell>
          <cell r="E151" t="str">
            <v>Máy 3ng</v>
          </cell>
          <cell r="F151" t="str">
            <v>Bồi: hộp bia TRB-HN xanh vàng</v>
          </cell>
          <cell r="G151" t="str">
            <v>Bồi: hộp các loại khổ lớn hơn khổ 24 lon( hộp trưng bày, xách 12 lon TB)</v>
          </cell>
          <cell r="H151">
            <v>15400701002</v>
          </cell>
          <cell r="I151" t="str">
            <v>1000 Tờ</v>
          </cell>
          <cell r="K151">
            <v>1020201</v>
          </cell>
          <cell r="L151" t="str">
            <v>Các loại sản phẩm khác</v>
          </cell>
          <cell r="M151" t="str">
            <v xml:space="preserve">Tổ Bồi </v>
          </cell>
          <cell r="N151">
            <v>3</v>
          </cell>
          <cell r="O151">
            <v>16.5</v>
          </cell>
          <cell r="P151">
            <v>2.0625</v>
          </cell>
          <cell r="Q151">
            <v>1.4545454545454546</v>
          </cell>
          <cell r="R151">
            <v>0.43680043680043679</v>
          </cell>
        </row>
        <row r="152">
          <cell r="C152" t="str">
            <v>Bồi: hộp bia TRB-HN xanh  Máy 3ng</v>
          </cell>
          <cell r="D152" t="str">
            <v>102022</v>
          </cell>
          <cell r="E152" t="str">
            <v>Máy 3ng</v>
          </cell>
          <cell r="F152" t="str">
            <v xml:space="preserve">Bồi: hộp bia TRB-HN xanh </v>
          </cell>
          <cell r="G152" t="str">
            <v>Bồi: hộp các loại khổ lớn hơn khổ 24 lon( hộp trưng bày, xách 12 lon TB)</v>
          </cell>
          <cell r="H152">
            <v>15400701002</v>
          </cell>
          <cell r="I152" t="str">
            <v>1000 Tờ</v>
          </cell>
          <cell r="K152">
            <v>1020201</v>
          </cell>
          <cell r="L152" t="str">
            <v>Các loại sản phẩm khác</v>
          </cell>
          <cell r="M152" t="str">
            <v xml:space="preserve">Tổ Bồi </v>
          </cell>
          <cell r="N152">
            <v>3</v>
          </cell>
          <cell r="O152">
            <v>16.5</v>
          </cell>
          <cell r="P152">
            <v>2.0625</v>
          </cell>
          <cell r="Q152">
            <v>1.4545454545454546</v>
          </cell>
          <cell r="R152">
            <v>0.43680043680043679</v>
          </cell>
        </row>
        <row r="153">
          <cell r="C153" t="str">
            <v>Bồi: hộp Uniaqua 350ml Máy 3ng</v>
          </cell>
          <cell r="D153" t="str">
            <v>102023</v>
          </cell>
          <cell r="E153" t="str">
            <v>Máy 3ng</v>
          </cell>
          <cell r="F153" t="str">
            <v>Bồi: hộp Uniaqua 350ml</v>
          </cell>
          <cell r="G153" t="str">
            <v>Bồi: hộp các loại khổ lớn hơn khổ 24 lon( Bia Hơi 24 lon 500ml, Hộp nước 350ml, Huy hoàng 1 bát )</v>
          </cell>
          <cell r="H153">
            <v>15400701003</v>
          </cell>
          <cell r="I153" t="str">
            <v>1000 Tờ</v>
          </cell>
          <cell r="K153">
            <v>1020202</v>
          </cell>
          <cell r="L153" t="str">
            <v>Các loại sản phẩm khác</v>
          </cell>
          <cell r="M153" t="str">
            <v xml:space="preserve">Tổ Bồi </v>
          </cell>
          <cell r="N153">
            <v>3</v>
          </cell>
          <cell r="O153">
            <v>18.150000000000002</v>
          </cell>
          <cell r="P153">
            <v>2.2687500000000003</v>
          </cell>
          <cell r="Q153">
            <v>1.3223140495867767</v>
          </cell>
          <cell r="R153">
            <v>0.39709130618221522</v>
          </cell>
        </row>
        <row r="154">
          <cell r="C154" t="str">
            <v>Hộp bia hơi 500ml Máy 3ng</v>
          </cell>
          <cell r="D154" t="str">
            <v>102024</v>
          </cell>
          <cell r="E154" t="str">
            <v>Máy 3ng</v>
          </cell>
          <cell r="F154" t="str">
            <v>Hộp bia hơi 500ml</v>
          </cell>
          <cell r="G154" t="str">
            <v>Bồi: hộp các loại khổ lớn hơn khổ 24 lon( Bia Hơi 24 lon 500ml, Hộp nước 350ml, Huy hoàng 1 bát )</v>
          </cell>
          <cell r="H154">
            <v>15400701003</v>
          </cell>
          <cell r="I154" t="str">
            <v>1000 Tờ</v>
          </cell>
          <cell r="K154">
            <v>1020203</v>
          </cell>
          <cell r="L154" t="str">
            <v>Các loại sản phẩm khác</v>
          </cell>
          <cell r="M154" t="str">
            <v xml:space="preserve">Tổ Bồi </v>
          </cell>
          <cell r="N154">
            <v>3</v>
          </cell>
          <cell r="O154">
            <v>18.150000000000002</v>
          </cell>
          <cell r="P154">
            <v>2.2687500000000003</v>
          </cell>
          <cell r="Q154">
            <v>1.3223140495867767</v>
          </cell>
          <cell r="R154">
            <v>0.39709130618221522</v>
          </cell>
        </row>
        <row r="155">
          <cell r="C155" t="str">
            <v>Bồi: hộp Uniaqua 500ml Máy 3ng</v>
          </cell>
          <cell r="D155" t="str">
            <v>102025</v>
          </cell>
          <cell r="E155" t="str">
            <v>Máy 3ng</v>
          </cell>
          <cell r="F155" t="str">
            <v>Bồi: hộp Uniaqua 500ml</v>
          </cell>
          <cell r="G155" t="str">
            <v>Bồi: hộp các loại khổ nhỏ hơn khổ 24 lon( hộp nước Uni 500, Huy hoàng 2 bát, xách 6 lon 500ml )</v>
          </cell>
          <cell r="H155">
            <v>15400701004</v>
          </cell>
          <cell r="I155" t="str">
            <v>1000 Tờ</v>
          </cell>
          <cell r="K155">
            <v>1020203</v>
          </cell>
          <cell r="L155" t="str">
            <v>Các loại sản phẩm khác</v>
          </cell>
          <cell r="M155" t="str">
            <v xml:space="preserve">Tổ Bồi </v>
          </cell>
          <cell r="N155">
            <v>3</v>
          </cell>
          <cell r="O155">
            <v>18.700000000000003</v>
          </cell>
          <cell r="P155">
            <v>2.3375000000000004</v>
          </cell>
          <cell r="Q155">
            <v>1.2834224598930479</v>
          </cell>
          <cell r="R155">
            <v>0.38541215011803243</v>
          </cell>
        </row>
        <row r="156">
          <cell r="C156" t="str">
            <v>Hộp bia hơi 12 lon 500ml Máy 3ng</v>
          </cell>
          <cell r="D156" t="str">
            <v>102026</v>
          </cell>
          <cell r="E156" t="str">
            <v>Máy 3ng</v>
          </cell>
          <cell r="F156" t="str">
            <v>Hộp bia hơi 12 lon 500ml</v>
          </cell>
          <cell r="G156" t="str">
            <v>Bồi: hộp các loại khổ nhỏ hơn khổ 24 lon( hộp nước Uni 500, Huy hoàng 2 bát, xách 6 lon 500ml )</v>
          </cell>
          <cell r="H156">
            <v>15400701004</v>
          </cell>
          <cell r="I156" t="str">
            <v>1000 Tờ</v>
          </cell>
          <cell r="L156" t="str">
            <v>Các loại sản phẩm khác</v>
          </cell>
          <cell r="M156" t="str">
            <v xml:space="preserve">Tổ Bồi </v>
          </cell>
          <cell r="N156">
            <v>3</v>
          </cell>
          <cell r="O156">
            <v>18.700000000000003</v>
          </cell>
          <cell r="P156">
            <v>2.3375000000000004</v>
          </cell>
          <cell r="Q156">
            <v>1.2834224598930479</v>
          </cell>
          <cell r="R156">
            <v>0.38541215011803243</v>
          </cell>
        </row>
        <row r="157">
          <cell r="C157" t="str">
            <v>Bồi: xách Trúc Bạch craft Máy 3ng</v>
          </cell>
          <cell r="D157" t="str">
            <v>102027</v>
          </cell>
          <cell r="E157" t="str">
            <v>Máy 3ng</v>
          </cell>
          <cell r="F157" t="str">
            <v>Bồi: xách Trúc Bạch craft</v>
          </cell>
          <cell r="G157" t="str">
            <v>Bồi: hộp các loại khổ nhỏ hơn khổ 24 lon( hộp nước Uni 500, Huy hoàng 2 bát, xách 6 lon 500ml )</v>
          </cell>
          <cell r="H157">
            <v>15400701004</v>
          </cell>
          <cell r="I157" t="str">
            <v>1000 Tờ</v>
          </cell>
          <cell r="K157">
            <v>1020205</v>
          </cell>
          <cell r="L157" t="str">
            <v>Các loại sản phẩm khác</v>
          </cell>
          <cell r="M157" t="str">
            <v xml:space="preserve">Tổ Bồi </v>
          </cell>
          <cell r="N157">
            <v>3</v>
          </cell>
          <cell r="O157">
            <v>18.700000000000003</v>
          </cell>
          <cell r="P157">
            <v>2.3375000000000004</v>
          </cell>
          <cell r="Q157">
            <v>1.2834224598930479</v>
          </cell>
          <cell r="R157">
            <v>0.38541215011803243</v>
          </cell>
        </row>
        <row r="158">
          <cell r="C158" t="str">
            <v>Bồi hộp khoá TNAP 8082 Máy 3ng</v>
          </cell>
          <cell r="D158" t="str">
            <v>102028</v>
          </cell>
          <cell r="E158" t="str">
            <v>Máy 3ng</v>
          </cell>
          <cell r="F158" t="str">
            <v>Bồi hộp khoá TNAP 8082</v>
          </cell>
          <cell r="G158" t="str">
            <v>Bồi: hộp các loại khổ nhỏ hơn khổ 24 lon( hộp nước Uni 500, Huy hoàng 2 bát, xách 6 lon 500ml )</v>
          </cell>
          <cell r="H158">
            <v>15400701004</v>
          </cell>
          <cell r="I158" t="str">
            <v>1000 Tờ</v>
          </cell>
          <cell r="L158" t="str">
            <v>Các loại sản phẩm khác</v>
          </cell>
          <cell r="M158" t="str">
            <v xml:space="preserve">Tổ Bồi </v>
          </cell>
          <cell r="N158">
            <v>3</v>
          </cell>
          <cell r="O158">
            <v>18.700000000000003</v>
          </cell>
          <cell r="P158">
            <v>2.3375000000000004</v>
          </cell>
          <cell r="Q158">
            <v>1.2834224598930479</v>
          </cell>
          <cell r="R158">
            <v>0.38541215011803243</v>
          </cell>
        </row>
        <row r="159">
          <cell r="C159" t="str">
            <v>Bồi hộp khóa 7044AP Máy 3ng</v>
          </cell>
          <cell r="D159" t="str">
            <v>102029</v>
          </cell>
          <cell r="E159" t="str">
            <v>Máy 3ng</v>
          </cell>
          <cell r="F159" t="str">
            <v>Bồi hộp khóa 7044AP</v>
          </cell>
          <cell r="G159" t="str">
            <v>Bồi: hộp các loại khổ nhỏ hơn khổ 24 lon( hộp nước Uni 500, Huy hoàng 2 bát, xách 6 lon 500ml )</v>
          </cell>
          <cell r="H159">
            <v>15400701004</v>
          </cell>
          <cell r="I159" t="str">
            <v>1000 Tờ</v>
          </cell>
          <cell r="L159" t="str">
            <v>Các loại sản phẩm khác</v>
          </cell>
          <cell r="M159" t="str">
            <v xml:space="preserve">Tổ Bồi </v>
          </cell>
          <cell r="N159">
            <v>3</v>
          </cell>
          <cell r="O159">
            <v>18.700000000000003</v>
          </cell>
          <cell r="P159">
            <v>2.3375000000000004</v>
          </cell>
          <cell r="Q159">
            <v>1.2834224598930479</v>
          </cell>
          <cell r="R159">
            <v>0.38541215011803243</v>
          </cell>
        </row>
        <row r="160">
          <cell r="C160" t="str">
            <v>Bồi hộp khóa 704451 Máy 3ng</v>
          </cell>
          <cell r="D160" t="str">
            <v>102030</v>
          </cell>
          <cell r="E160" t="str">
            <v>Máy 3ng</v>
          </cell>
          <cell r="F160" t="str">
            <v>Bồi hộp khóa 704451</v>
          </cell>
          <cell r="G160" t="str">
            <v>Bồi: hộp các loại khổ nhỏ hơn khổ 24 lon( hộp nước Uni 500, Huy hoàng 2 bát, xách 6 lon 500ml )</v>
          </cell>
          <cell r="H160">
            <v>15400701004</v>
          </cell>
          <cell r="I160" t="str">
            <v>1000 Tờ</v>
          </cell>
          <cell r="L160" t="str">
            <v>Các loại sản phẩm khác</v>
          </cell>
          <cell r="M160" t="str">
            <v xml:space="preserve">Tổ Bồi </v>
          </cell>
          <cell r="N160">
            <v>3</v>
          </cell>
          <cell r="O160">
            <v>18.700000000000003</v>
          </cell>
          <cell r="P160">
            <v>2.3375000000000004</v>
          </cell>
          <cell r="Q160">
            <v>1.2834224598930479</v>
          </cell>
          <cell r="R160">
            <v>0.38541215011803243</v>
          </cell>
        </row>
        <row r="161">
          <cell r="C161" t="str">
            <v>Bồi hộp HN Viettel Máy 3ng</v>
          </cell>
          <cell r="D161" t="str">
            <v>102031</v>
          </cell>
          <cell r="E161" t="str">
            <v>Máy 3ng</v>
          </cell>
          <cell r="F161" t="str">
            <v>Bồi hộp HN Viettel</v>
          </cell>
          <cell r="G161" t="str">
            <v>Bồi: hộp các loại ( 24 lon, Sleek, 12 lon)</v>
          </cell>
          <cell r="H161">
            <v>15400701001</v>
          </cell>
          <cell r="I161" t="str">
            <v>1000 Tờ</v>
          </cell>
          <cell r="K161">
            <v>10200</v>
          </cell>
          <cell r="L161" t="str">
            <v>Hộp 24 lon 330ml</v>
          </cell>
          <cell r="M161" t="str">
            <v xml:space="preserve">Tổ Bồi </v>
          </cell>
          <cell r="N161">
            <v>3</v>
          </cell>
          <cell r="O161">
            <v>25.3</v>
          </cell>
          <cell r="P161">
            <v>3.1625000000000001</v>
          </cell>
          <cell r="Q161">
            <v>0.9486166007905138</v>
          </cell>
          <cell r="R161">
            <v>0.28486985008724136</v>
          </cell>
        </row>
        <row r="162">
          <cell r="C162" t="str">
            <v>Bồi hộp HN Tết Máy 3ng</v>
          </cell>
          <cell r="D162" t="str">
            <v>102032</v>
          </cell>
          <cell r="E162" t="str">
            <v>Máy 3ng</v>
          </cell>
          <cell r="F162" t="str">
            <v>Bồi hộp HN Tết</v>
          </cell>
          <cell r="G162" t="str">
            <v>Bồi: hộp các loại ( 24 lon, Sleek, 12 lon)</v>
          </cell>
          <cell r="H162">
            <v>15400701001</v>
          </cell>
          <cell r="I162" t="str">
            <v>1000 Tờ</v>
          </cell>
          <cell r="K162">
            <v>10200</v>
          </cell>
          <cell r="L162" t="str">
            <v>Hộp 24 lon 330ml</v>
          </cell>
          <cell r="M162" t="str">
            <v xml:space="preserve">Tổ Bồi </v>
          </cell>
          <cell r="N162">
            <v>3</v>
          </cell>
          <cell r="O162">
            <v>25.3</v>
          </cell>
          <cell r="P162">
            <v>3.1625000000000001</v>
          </cell>
          <cell r="Q162">
            <v>0.9486166007905138</v>
          </cell>
          <cell r="R162">
            <v>0.28486985008724136</v>
          </cell>
        </row>
        <row r="163">
          <cell r="C163" t="str">
            <v>Sản phẩm tính lương thời gian Máy bồi tự động</v>
          </cell>
          <cell r="D163" t="str">
            <v>SXSP</v>
          </cell>
          <cell r="E163" t="str">
            <v>Máy bồi tự động</v>
          </cell>
          <cell r="F163" t="str">
            <v>Sản phẩm tính lương thời gian</v>
          </cell>
          <cell r="I163" t="str">
            <v>h</v>
          </cell>
        </row>
        <row r="164">
          <cell r="C164" t="str">
            <v>Vệ sinh máy đầu tuần Máy bồi tự động</v>
          </cell>
          <cell r="D164" t="str">
            <v>VSM</v>
          </cell>
          <cell r="E164" t="str">
            <v>Máy bồi tự động</v>
          </cell>
          <cell r="F164" t="str">
            <v>Vệ sinh máy đầu tuần</v>
          </cell>
          <cell r="I164" t="str">
            <v>h</v>
          </cell>
        </row>
        <row r="165">
          <cell r="C165" t="str">
            <v>Sửa máy Máy bồi tự động</v>
          </cell>
          <cell r="D165" t="str">
            <v>SM</v>
          </cell>
          <cell r="E165" t="str">
            <v>Máy bồi tự động</v>
          </cell>
          <cell r="F165" t="str">
            <v>Sửa máy</v>
          </cell>
          <cell r="I165" t="str">
            <v>h</v>
          </cell>
        </row>
        <row r="166">
          <cell r="C166" t="str">
            <v>Bảo dưỡng máy Máy bồi tự động</v>
          </cell>
          <cell r="D166" t="str">
            <v>BDM</v>
          </cell>
          <cell r="E166" t="str">
            <v>Máy bồi tự động</v>
          </cell>
          <cell r="F166" t="str">
            <v>Bảo dưỡng máy</v>
          </cell>
          <cell r="I166" t="str">
            <v>h</v>
          </cell>
        </row>
        <row r="167">
          <cell r="C167" t="str">
            <v>Công việc khác Máy bồi tự động</v>
          </cell>
          <cell r="D167" t="str">
            <v>CVK</v>
          </cell>
          <cell r="E167" t="str">
            <v>Máy bồi tự động</v>
          </cell>
          <cell r="F167" t="str">
            <v>Công việc khác</v>
          </cell>
          <cell r="I167" t="str">
            <v>h</v>
          </cell>
        </row>
        <row r="168">
          <cell r="C168" t="str">
            <v>Chuẩn bị máy theo định mức Máy bồi tự động</v>
          </cell>
          <cell r="D168" t="str">
            <v>TGĐM</v>
          </cell>
          <cell r="E168" t="str">
            <v>Máy bồi tự động</v>
          </cell>
          <cell r="F168" t="str">
            <v>Chuẩn bị máy theo định mức</v>
          </cell>
          <cell r="I168" t="str">
            <v>h</v>
          </cell>
        </row>
        <row r="169">
          <cell r="C169" t="str">
            <v>Chạy mẫu Máy bồi tự động</v>
          </cell>
          <cell r="D169" t="str">
            <v>CMAU</v>
          </cell>
          <cell r="E169" t="str">
            <v>Máy bồi tự động</v>
          </cell>
          <cell r="F169" t="str">
            <v>Chạy mẫu</v>
          </cell>
          <cell r="I169" t="str">
            <v>h</v>
          </cell>
        </row>
        <row r="170">
          <cell r="C170" t="str">
            <v>Chờ việc Máy bồi tự động</v>
          </cell>
          <cell r="D170" t="str">
            <v>CV</v>
          </cell>
          <cell r="E170" t="str">
            <v>Máy bồi tự động</v>
          </cell>
          <cell r="F170" t="str">
            <v>Chờ việc</v>
          </cell>
          <cell r="I170" t="str">
            <v>h</v>
          </cell>
        </row>
        <row r="171">
          <cell r="F171" t="str">
            <v>Tổ bế</v>
          </cell>
        </row>
        <row r="172">
          <cell r="C172" t="str">
            <v>Bế: hộp bia HN Máy 3ng</v>
          </cell>
          <cell r="D172" t="str">
            <v>103001</v>
          </cell>
          <cell r="E172" t="str">
            <v>Máy 3ng</v>
          </cell>
          <cell r="F172" t="str">
            <v>Bế: hộp bia HN</v>
          </cell>
          <cell r="G172" t="str">
            <v xml:space="preserve">Bế hộp </v>
          </cell>
          <cell r="H172">
            <v>15400702001</v>
          </cell>
          <cell r="I172" t="str">
            <v>1001 Tờ</v>
          </cell>
          <cell r="J172" t="str">
            <v>Máy TĐ</v>
          </cell>
          <cell r="K172">
            <v>10300</v>
          </cell>
          <cell r="L172" t="str">
            <v>Hộp 24 lon 330ml</v>
          </cell>
          <cell r="M172" t="str">
            <v xml:space="preserve">Tổ Bế  </v>
          </cell>
          <cell r="N172">
            <v>3</v>
          </cell>
          <cell r="O172">
            <v>24.200000000000003</v>
          </cell>
          <cell r="P172">
            <v>3.0250000000000004</v>
          </cell>
          <cell r="Q172">
            <v>0.99173553719008256</v>
          </cell>
          <cell r="R172">
            <v>0.29781847963666142</v>
          </cell>
        </row>
        <row r="173">
          <cell r="C173" t="str">
            <v>Bế: hộp bia HN- PL Máy 3ng</v>
          </cell>
          <cell r="D173" t="str">
            <v>103002</v>
          </cell>
          <cell r="E173" t="str">
            <v>Máy 3ng</v>
          </cell>
          <cell r="F173" t="str">
            <v>Bế: hộp bia HN- PL</v>
          </cell>
          <cell r="G173" t="str">
            <v xml:space="preserve">Bế hộp </v>
          </cell>
          <cell r="H173">
            <v>15400702001</v>
          </cell>
          <cell r="I173" t="str">
            <v>1001 Tờ</v>
          </cell>
          <cell r="J173" t="str">
            <v>Máy TĐ</v>
          </cell>
          <cell r="K173">
            <v>10300</v>
          </cell>
          <cell r="L173" t="str">
            <v>Hộp 24 lon 330ml</v>
          </cell>
          <cell r="M173" t="str">
            <v xml:space="preserve">Tổ Bế  </v>
          </cell>
          <cell r="N173">
            <v>3</v>
          </cell>
          <cell r="O173">
            <v>24.200000000000003</v>
          </cell>
          <cell r="P173">
            <v>3.0250000000000004</v>
          </cell>
          <cell r="Q173">
            <v>0.99173553719008256</v>
          </cell>
          <cell r="R173">
            <v>0.29781847963666142</v>
          </cell>
        </row>
        <row r="174">
          <cell r="C174" t="str">
            <v>Bế: hộp Thanh Hoa 24 lon Máy 3ng</v>
          </cell>
          <cell r="D174" t="str">
            <v>103003</v>
          </cell>
          <cell r="E174" t="str">
            <v>Máy 3ng</v>
          </cell>
          <cell r="F174" t="str">
            <v>Bế: hộp Thanh Hoa 24 lon</v>
          </cell>
          <cell r="G174" t="str">
            <v xml:space="preserve">Bế hộp </v>
          </cell>
          <cell r="H174">
            <v>15400702001</v>
          </cell>
          <cell r="I174" t="str">
            <v>1001 Tờ</v>
          </cell>
          <cell r="J174" t="str">
            <v>Máy TĐ</v>
          </cell>
          <cell r="K174">
            <v>10300</v>
          </cell>
          <cell r="L174" t="str">
            <v>Hộp 24 lon 330ml</v>
          </cell>
          <cell r="M174" t="str">
            <v xml:space="preserve">Tổ Bế  </v>
          </cell>
          <cell r="N174">
            <v>3</v>
          </cell>
          <cell r="O174">
            <v>24.200000000000003</v>
          </cell>
          <cell r="P174">
            <v>3.0250000000000004</v>
          </cell>
          <cell r="Q174">
            <v>0.99173553719008256</v>
          </cell>
          <cell r="R174">
            <v>0.29781847963666142</v>
          </cell>
        </row>
        <row r="175">
          <cell r="C175" t="str">
            <v>Hộp bia Thabrew 24 lon Máy 3ng</v>
          </cell>
          <cell r="D175" t="str">
            <v>103004</v>
          </cell>
          <cell r="E175" t="str">
            <v>Máy 3ng</v>
          </cell>
          <cell r="F175" t="str">
            <v>Hộp bia Thabrew 24 lon</v>
          </cell>
          <cell r="G175" t="str">
            <v xml:space="preserve">Bế hộp </v>
          </cell>
          <cell r="H175">
            <v>15400702001</v>
          </cell>
          <cell r="I175" t="str">
            <v>1001 Tờ</v>
          </cell>
          <cell r="J175" t="str">
            <v>Máy TĐ</v>
          </cell>
          <cell r="K175">
            <v>10300</v>
          </cell>
          <cell r="L175" t="str">
            <v>Hộp 24 lon 330ml</v>
          </cell>
          <cell r="M175" t="str">
            <v xml:space="preserve">Tổ Bế  </v>
          </cell>
          <cell r="N175">
            <v>3</v>
          </cell>
          <cell r="O175">
            <v>24.200000000000003</v>
          </cell>
          <cell r="P175">
            <v>3.0250000000000004</v>
          </cell>
          <cell r="Q175">
            <v>0.99173553719008256</v>
          </cell>
          <cell r="R175">
            <v>0.29781847963666142</v>
          </cell>
        </row>
        <row r="176">
          <cell r="C176" t="str">
            <v>Bế hộp HN xanh Máy 3ng</v>
          </cell>
          <cell r="D176" t="str">
            <v>103005</v>
          </cell>
          <cell r="E176" t="str">
            <v>Máy 3ng</v>
          </cell>
          <cell r="F176" t="str">
            <v>Bế hộp HN xanh</v>
          </cell>
          <cell r="G176" t="str">
            <v xml:space="preserve">Bế hộp </v>
          </cell>
          <cell r="H176">
            <v>15400702001</v>
          </cell>
          <cell r="I176" t="str">
            <v>1001 Tờ</v>
          </cell>
          <cell r="J176" t="str">
            <v>Máy TĐ</v>
          </cell>
          <cell r="K176">
            <v>10300</v>
          </cell>
          <cell r="L176" t="str">
            <v>Hộp 24 lon 330ml</v>
          </cell>
          <cell r="M176" t="str">
            <v xml:space="preserve">Tổ Bế  </v>
          </cell>
          <cell r="N176">
            <v>3</v>
          </cell>
          <cell r="O176">
            <v>24.200000000000003</v>
          </cell>
          <cell r="P176">
            <v>3.0250000000000004</v>
          </cell>
          <cell r="Q176">
            <v>0.99173553719008256</v>
          </cell>
          <cell r="R176">
            <v>0.29781847963666142</v>
          </cell>
        </row>
        <row r="177">
          <cell r="C177" t="str">
            <v>Bế: hộp HN xanh KM hè Máy 3ng</v>
          </cell>
          <cell r="D177" t="str">
            <v>103006</v>
          </cell>
          <cell r="E177" t="str">
            <v>Máy 3ng</v>
          </cell>
          <cell r="F177" t="str">
            <v>Bế: hộp HN xanh KM hè</v>
          </cell>
          <cell r="G177" t="str">
            <v xml:space="preserve">Bế hộp </v>
          </cell>
          <cell r="H177">
            <v>15400702001</v>
          </cell>
          <cell r="I177" t="str">
            <v>1001 Tờ</v>
          </cell>
          <cell r="J177" t="str">
            <v>Máy TĐ</v>
          </cell>
          <cell r="K177">
            <v>10300</v>
          </cell>
          <cell r="L177" t="str">
            <v>Hộp 24 lon 330ml</v>
          </cell>
          <cell r="M177" t="str">
            <v xml:space="preserve">Tổ Bế  </v>
          </cell>
          <cell r="N177">
            <v>3</v>
          </cell>
          <cell r="O177">
            <v>24.200000000000003</v>
          </cell>
          <cell r="P177">
            <v>3.0250000000000004</v>
          </cell>
          <cell r="Q177">
            <v>0.99173553719008256</v>
          </cell>
          <cell r="R177">
            <v>0.29781847963666142</v>
          </cell>
        </row>
        <row r="178">
          <cell r="C178" t="str">
            <v>Bế: hộp Trúc bạch mẫu mới Máy 3ng</v>
          </cell>
          <cell r="D178" t="str">
            <v>103007</v>
          </cell>
          <cell r="E178" t="str">
            <v>Máy 3ng</v>
          </cell>
          <cell r="F178" t="str">
            <v>Bế: hộp Trúc bạch mẫu mới</v>
          </cell>
          <cell r="G178" t="str">
            <v xml:space="preserve">Bế hộp </v>
          </cell>
          <cell r="H178">
            <v>15400702001</v>
          </cell>
          <cell r="I178" t="str">
            <v>1001 Tờ</v>
          </cell>
          <cell r="J178" t="str">
            <v>Máy TĐ</v>
          </cell>
          <cell r="K178">
            <v>10300</v>
          </cell>
          <cell r="L178" t="str">
            <v>Hộp 24 lon 330ml</v>
          </cell>
          <cell r="M178" t="str">
            <v xml:space="preserve">Tổ Bế  </v>
          </cell>
          <cell r="N178">
            <v>3</v>
          </cell>
          <cell r="O178">
            <v>24.200000000000003</v>
          </cell>
          <cell r="P178">
            <v>3.0250000000000004</v>
          </cell>
          <cell r="Q178">
            <v>0.99173553719008256</v>
          </cell>
          <cell r="R178">
            <v>0.29781847963666142</v>
          </cell>
        </row>
        <row r="179">
          <cell r="C179" t="str">
            <v>Bế hộp Premium Máy 3ng</v>
          </cell>
          <cell r="D179" t="str">
            <v>103008</v>
          </cell>
          <cell r="E179" t="str">
            <v>Máy 3ng</v>
          </cell>
          <cell r="F179" t="str">
            <v>Bế hộp Premium</v>
          </cell>
          <cell r="G179" t="str">
            <v xml:space="preserve">Bế hộp </v>
          </cell>
          <cell r="H179">
            <v>15400702001</v>
          </cell>
          <cell r="I179" t="str">
            <v>1001 Tờ</v>
          </cell>
          <cell r="J179" t="str">
            <v>Máy TĐ</v>
          </cell>
          <cell r="K179">
            <v>10300</v>
          </cell>
          <cell r="L179" t="str">
            <v>Hộp 24 lon 330ml</v>
          </cell>
          <cell r="M179" t="str">
            <v xml:space="preserve">Tổ Bế  </v>
          </cell>
          <cell r="N179">
            <v>3</v>
          </cell>
          <cell r="O179">
            <v>24.200000000000003</v>
          </cell>
          <cell r="P179">
            <v>3.0250000000000004</v>
          </cell>
          <cell r="Q179">
            <v>0.99173553719008256</v>
          </cell>
          <cell r="R179">
            <v>0.29781847963666142</v>
          </cell>
        </row>
        <row r="180">
          <cell r="C180" t="str">
            <v>Bế hộp HN Tết Máy 3ng</v>
          </cell>
          <cell r="D180" t="str">
            <v>103009</v>
          </cell>
          <cell r="E180" t="str">
            <v>Máy 3ng</v>
          </cell>
          <cell r="F180" t="str">
            <v>Bế hộp HN Tết</v>
          </cell>
          <cell r="G180" t="str">
            <v xml:space="preserve">Bế hộp </v>
          </cell>
          <cell r="H180">
            <v>15400702001</v>
          </cell>
          <cell r="I180" t="str">
            <v>1001 Tờ</v>
          </cell>
          <cell r="J180" t="str">
            <v>Máy TĐ</v>
          </cell>
          <cell r="K180">
            <v>10300</v>
          </cell>
          <cell r="L180" t="str">
            <v>Hộp 24 lon 330ml</v>
          </cell>
          <cell r="M180" t="str">
            <v xml:space="preserve">Tổ Bế  </v>
          </cell>
          <cell r="N180">
            <v>3</v>
          </cell>
          <cell r="O180">
            <v>24.200000000000003</v>
          </cell>
          <cell r="P180">
            <v>3.0250000000000004</v>
          </cell>
          <cell r="Q180">
            <v>0.99173553719008256</v>
          </cell>
          <cell r="R180">
            <v>0.29781847963666142</v>
          </cell>
        </row>
        <row r="181">
          <cell r="C181" t="str">
            <v>Bế hộp Premium Sleek KM Máy 3ng</v>
          </cell>
          <cell r="D181" t="str">
            <v>103010</v>
          </cell>
          <cell r="E181" t="str">
            <v>Máy 3ng</v>
          </cell>
          <cell r="F181" t="str">
            <v>Bế hộp Premium Sleek KM</v>
          </cell>
          <cell r="G181" t="str">
            <v xml:space="preserve">Bế hộp </v>
          </cell>
          <cell r="H181">
            <v>15400702001</v>
          </cell>
          <cell r="I181" t="str">
            <v>1001 Tờ</v>
          </cell>
          <cell r="J181" t="str">
            <v>Máy TĐ</v>
          </cell>
          <cell r="K181">
            <v>10300</v>
          </cell>
          <cell r="L181" t="str">
            <v>Hộp 24 lon 330ml</v>
          </cell>
          <cell r="M181" t="str">
            <v xml:space="preserve">Tổ Bế  </v>
          </cell>
          <cell r="N181">
            <v>3</v>
          </cell>
          <cell r="O181">
            <v>24.200000000000003</v>
          </cell>
          <cell r="P181">
            <v>3.0250000000000004</v>
          </cell>
          <cell r="Q181">
            <v>0.99173553719008256</v>
          </cell>
          <cell r="R181">
            <v>0.29781847963666142</v>
          </cell>
        </row>
        <row r="182">
          <cell r="C182" t="str">
            <v>Bế hộp Trúc Bạch Sleek Máy 3ng</v>
          </cell>
          <cell r="D182" t="str">
            <v>103011</v>
          </cell>
          <cell r="E182" t="str">
            <v>Máy 3ng</v>
          </cell>
          <cell r="F182" t="str">
            <v>Bế hộp Trúc Bạch Sleek</v>
          </cell>
          <cell r="G182" t="str">
            <v xml:space="preserve">Bế hộp </v>
          </cell>
          <cell r="H182">
            <v>15400702001</v>
          </cell>
          <cell r="I182" t="str">
            <v>1001 Tờ</v>
          </cell>
          <cell r="J182" t="str">
            <v>Máy TĐ</v>
          </cell>
          <cell r="K182">
            <v>10300</v>
          </cell>
          <cell r="L182" t="str">
            <v>Hộp 24 lon 330ml</v>
          </cell>
          <cell r="M182" t="str">
            <v xml:space="preserve">Tổ Bế  </v>
          </cell>
          <cell r="N182">
            <v>3</v>
          </cell>
          <cell r="O182">
            <v>24.200000000000003</v>
          </cell>
          <cell r="P182">
            <v>3.0250000000000004</v>
          </cell>
          <cell r="Q182">
            <v>0.99173553719008256</v>
          </cell>
          <cell r="R182">
            <v>0.29781847963666142</v>
          </cell>
        </row>
        <row r="183">
          <cell r="C183" t="str">
            <v>Bế hộp Uniaqua 500ml Máy 3ng</v>
          </cell>
          <cell r="D183" t="str">
            <v>103012</v>
          </cell>
          <cell r="E183" t="str">
            <v>Máy 3ng</v>
          </cell>
          <cell r="F183" t="str">
            <v>Bế hộp Uniaqua 500ml</v>
          </cell>
          <cell r="G183" t="str">
            <v>Bế hộp nước</v>
          </cell>
          <cell r="H183">
            <v>15400702006</v>
          </cell>
          <cell r="I183" t="str">
            <v>1000 Tờ</v>
          </cell>
          <cell r="J183" t="str">
            <v>Máy TĐ</v>
          </cell>
          <cell r="K183">
            <v>1030203</v>
          </cell>
          <cell r="L183" t="str">
            <v>Các loại sản phẩm khác</v>
          </cell>
          <cell r="M183" t="str">
            <v xml:space="preserve">Tổ Bế  </v>
          </cell>
          <cell r="N183">
            <v>3</v>
          </cell>
          <cell r="O183">
            <v>19.8</v>
          </cell>
          <cell r="P183">
            <v>2.4750000000000001</v>
          </cell>
          <cell r="Q183">
            <v>1.2121212121212122</v>
          </cell>
          <cell r="R183">
            <v>0.36400036400036401</v>
          </cell>
        </row>
        <row r="184">
          <cell r="C184" t="str">
            <v>Bế: hộp bia HN Máy 2ng</v>
          </cell>
          <cell r="D184" t="str">
            <v>103013</v>
          </cell>
          <cell r="E184" t="str">
            <v>Máy 2ng</v>
          </cell>
          <cell r="F184" t="str">
            <v>Bế: hộp bia HN</v>
          </cell>
          <cell r="G184" t="str">
            <v xml:space="preserve">Bế và bó hộp </v>
          </cell>
          <cell r="H184">
            <v>15400702002</v>
          </cell>
          <cell r="I184" t="str">
            <v>1000 Tờ</v>
          </cell>
          <cell r="J184" t="str">
            <v>Máy BTĐ 1,2</v>
          </cell>
          <cell r="K184">
            <v>10300</v>
          </cell>
          <cell r="L184" t="str">
            <v>Hộp 24 lon 330ml</v>
          </cell>
          <cell r="M184" t="str">
            <v xml:space="preserve">Tổ Bế  </v>
          </cell>
          <cell r="N184">
            <v>2</v>
          </cell>
          <cell r="O184">
            <v>7.15</v>
          </cell>
          <cell r="P184">
            <v>0.89375000000000004</v>
          </cell>
          <cell r="Q184">
            <v>2.2377622377622375</v>
          </cell>
          <cell r="R184">
            <v>0.67200067200067193</v>
          </cell>
        </row>
        <row r="185">
          <cell r="C185" t="str">
            <v>Bế: hộp bia HN- PL Máy 2ng</v>
          </cell>
          <cell r="D185" t="str">
            <v>103014</v>
          </cell>
          <cell r="E185" t="str">
            <v>Máy 2ng</v>
          </cell>
          <cell r="F185" t="str">
            <v>Bế: hộp bia HN- PL</v>
          </cell>
          <cell r="G185" t="str">
            <v xml:space="preserve">Bế và bó hộp </v>
          </cell>
          <cell r="H185">
            <v>15400702002</v>
          </cell>
          <cell r="I185" t="str">
            <v>1000 Tờ</v>
          </cell>
          <cell r="J185" t="str">
            <v>Máy BTĐ 1,2</v>
          </cell>
          <cell r="K185">
            <v>10300</v>
          </cell>
          <cell r="L185" t="str">
            <v>Hộp 24 lon 330ml</v>
          </cell>
          <cell r="M185" t="str">
            <v xml:space="preserve">Tổ Bế  </v>
          </cell>
          <cell r="N185">
            <v>2</v>
          </cell>
          <cell r="O185">
            <v>7.15</v>
          </cell>
          <cell r="P185">
            <v>0.89375000000000004</v>
          </cell>
          <cell r="Q185">
            <v>2.2377622377622375</v>
          </cell>
          <cell r="R185">
            <v>0.67200067200067193</v>
          </cell>
        </row>
        <row r="186">
          <cell r="C186" t="str">
            <v>Bế: hộp Thanh Hoa 24 lon Máy 2ng</v>
          </cell>
          <cell r="D186" t="str">
            <v>103015</v>
          </cell>
          <cell r="E186" t="str">
            <v>Máy 2ng</v>
          </cell>
          <cell r="F186" t="str">
            <v>Bế: hộp Thanh Hoa 24 lon</v>
          </cell>
          <cell r="G186" t="str">
            <v xml:space="preserve">Bế và bó hộp </v>
          </cell>
          <cell r="H186">
            <v>15400702002</v>
          </cell>
          <cell r="I186" t="str">
            <v>1000 Tờ</v>
          </cell>
          <cell r="J186" t="str">
            <v>Máy BTĐ 1,2</v>
          </cell>
          <cell r="K186">
            <v>10300</v>
          </cell>
          <cell r="L186" t="str">
            <v>Hộp 24 lon 330ml</v>
          </cell>
          <cell r="M186" t="str">
            <v xml:space="preserve">Tổ Bế  </v>
          </cell>
          <cell r="N186">
            <v>2</v>
          </cell>
          <cell r="O186">
            <v>7.15</v>
          </cell>
          <cell r="P186">
            <v>0.89375000000000004</v>
          </cell>
          <cell r="Q186">
            <v>2.2377622377622375</v>
          </cell>
          <cell r="R186">
            <v>0.67200067200067193</v>
          </cell>
        </row>
        <row r="187">
          <cell r="C187" t="str">
            <v>Bế: hộp bia Thabrew 24 lon Máy 2ng</v>
          </cell>
          <cell r="D187" t="str">
            <v>103016</v>
          </cell>
          <cell r="E187" t="str">
            <v>Máy 2ng</v>
          </cell>
          <cell r="F187" t="str">
            <v>Bế: hộp bia Thabrew 24 lon</v>
          </cell>
          <cell r="G187" t="str">
            <v xml:space="preserve">Bế và bó hộp </v>
          </cell>
          <cell r="H187">
            <v>15400702002</v>
          </cell>
          <cell r="I187" t="str">
            <v>1000 Tờ</v>
          </cell>
          <cell r="J187" t="str">
            <v>Máy BTĐ 1,2</v>
          </cell>
          <cell r="K187">
            <v>10300</v>
          </cell>
          <cell r="L187" t="str">
            <v>Hộp 24 lon 330ml</v>
          </cell>
          <cell r="M187" t="str">
            <v xml:space="preserve">Tổ Bế  </v>
          </cell>
          <cell r="N187">
            <v>2</v>
          </cell>
          <cell r="O187">
            <v>7.15</v>
          </cell>
          <cell r="P187">
            <v>0.89375000000000004</v>
          </cell>
          <cell r="Q187">
            <v>2.2377622377622375</v>
          </cell>
          <cell r="R187">
            <v>0.67200067200067193</v>
          </cell>
        </row>
        <row r="188">
          <cell r="C188" t="str">
            <v>Bế hộp HN xanh Máy 2ng</v>
          </cell>
          <cell r="D188" t="str">
            <v>103017</v>
          </cell>
          <cell r="E188" t="str">
            <v>Máy 2ng</v>
          </cell>
          <cell r="F188" t="str">
            <v>Bế hộp HN xanh</v>
          </cell>
          <cell r="G188" t="str">
            <v xml:space="preserve">Bế và bó hộp </v>
          </cell>
          <cell r="H188">
            <v>15400702002</v>
          </cell>
          <cell r="I188" t="str">
            <v>1000 Tờ</v>
          </cell>
          <cell r="J188" t="str">
            <v>Máy BTĐ 1,2</v>
          </cell>
          <cell r="K188">
            <v>10300</v>
          </cell>
          <cell r="L188" t="str">
            <v>Hộp 24 lon 330ml</v>
          </cell>
          <cell r="M188" t="str">
            <v xml:space="preserve">Tổ Bế  </v>
          </cell>
          <cell r="N188">
            <v>2</v>
          </cell>
          <cell r="O188">
            <v>7.15</v>
          </cell>
          <cell r="P188">
            <v>0.89375000000000004</v>
          </cell>
          <cell r="Q188">
            <v>2.2377622377622375</v>
          </cell>
          <cell r="R188">
            <v>0.67200067200067193</v>
          </cell>
        </row>
        <row r="189">
          <cell r="C189" t="str">
            <v>Bế: hộp HN xanh KM hè Máy 2ng</v>
          </cell>
          <cell r="D189" t="str">
            <v>103018</v>
          </cell>
          <cell r="E189" t="str">
            <v>Máy 2ng</v>
          </cell>
          <cell r="F189" t="str">
            <v>Bế: hộp HN xanh KM hè</v>
          </cell>
          <cell r="G189" t="str">
            <v xml:space="preserve">Bế và bó hộp </v>
          </cell>
          <cell r="H189">
            <v>15400702002</v>
          </cell>
          <cell r="I189" t="str">
            <v>1000 Tờ</v>
          </cell>
          <cell r="J189" t="str">
            <v>Máy BTĐ 1,2</v>
          </cell>
          <cell r="K189">
            <v>10300</v>
          </cell>
          <cell r="L189" t="str">
            <v>Hộp 24 lon 330ml</v>
          </cell>
          <cell r="M189" t="str">
            <v xml:space="preserve">Tổ Bế  </v>
          </cell>
          <cell r="N189">
            <v>2</v>
          </cell>
          <cell r="O189">
            <v>7.15</v>
          </cell>
          <cell r="P189">
            <v>0.89375000000000004</v>
          </cell>
          <cell r="Q189">
            <v>2.2377622377622375</v>
          </cell>
          <cell r="R189">
            <v>0.67200067200067193</v>
          </cell>
        </row>
        <row r="190">
          <cell r="C190" t="str">
            <v>Bế hộp Premium Máy 2ng</v>
          </cell>
          <cell r="D190" t="str">
            <v>103019</v>
          </cell>
          <cell r="E190" t="str">
            <v>Máy 2ng</v>
          </cell>
          <cell r="F190" t="str">
            <v>Bế hộp Premium</v>
          </cell>
          <cell r="G190" t="str">
            <v xml:space="preserve">Bế và bó hộp </v>
          </cell>
          <cell r="H190">
            <v>15400702002</v>
          </cell>
          <cell r="I190" t="str">
            <v>1000 Tờ</v>
          </cell>
          <cell r="J190" t="str">
            <v>Máy BTĐ 1,2</v>
          </cell>
          <cell r="K190">
            <v>10300</v>
          </cell>
          <cell r="L190" t="str">
            <v>Hộp 24 lon 330ml</v>
          </cell>
          <cell r="M190" t="str">
            <v xml:space="preserve">Tổ Bế  </v>
          </cell>
          <cell r="N190">
            <v>2</v>
          </cell>
          <cell r="O190">
            <v>7.15</v>
          </cell>
          <cell r="P190">
            <v>0.89375000000000004</v>
          </cell>
          <cell r="Q190">
            <v>2.2377622377622375</v>
          </cell>
          <cell r="R190">
            <v>0.67200067200067193</v>
          </cell>
        </row>
        <row r="191">
          <cell r="C191" t="str">
            <v>Bế hộp Premium Sleek Máy 2ng</v>
          </cell>
          <cell r="D191" t="str">
            <v>103020</v>
          </cell>
          <cell r="E191" t="str">
            <v>Máy 2ng</v>
          </cell>
          <cell r="F191" t="str">
            <v>Bế hộp Premium Sleek</v>
          </cell>
          <cell r="G191" t="str">
            <v xml:space="preserve">Bế và bó hộp </v>
          </cell>
          <cell r="H191">
            <v>15400702002</v>
          </cell>
          <cell r="I191" t="str">
            <v>1000 Tờ</v>
          </cell>
          <cell r="J191" t="str">
            <v>Máy BTĐ 1,2</v>
          </cell>
          <cell r="K191">
            <v>10300</v>
          </cell>
          <cell r="L191" t="str">
            <v>Hộp 24 lon 330ml</v>
          </cell>
          <cell r="M191" t="str">
            <v xml:space="preserve">Tổ Bế  </v>
          </cell>
          <cell r="N191">
            <v>2</v>
          </cell>
          <cell r="O191">
            <v>7.15</v>
          </cell>
          <cell r="P191">
            <v>0.89375000000000004</v>
          </cell>
          <cell r="Q191">
            <v>2.2377622377622375</v>
          </cell>
          <cell r="R191">
            <v>0.67200067200067193</v>
          </cell>
        </row>
        <row r="192">
          <cell r="C192" t="str">
            <v>Bế hộp HN Tết Máy 2ng</v>
          </cell>
          <cell r="D192" t="str">
            <v>103021</v>
          </cell>
          <cell r="E192" t="str">
            <v>Máy 2ng</v>
          </cell>
          <cell r="F192" t="str">
            <v>Bế hộp HN Tết</v>
          </cell>
          <cell r="G192" t="str">
            <v xml:space="preserve">Bế và bó hộp </v>
          </cell>
          <cell r="H192">
            <v>15400702002</v>
          </cell>
          <cell r="I192" t="str">
            <v>1000 Tờ</v>
          </cell>
          <cell r="J192" t="str">
            <v>Máy BTĐ 1,2</v>
          </cell>
          <cell r="K192">
            <v>10300</v>
          </cell>
          <cell r="L192" t="str">
            <v>Hộp 24 lon 330ml</v>
          </cell>
          <cell r="M192" t="str">
            <v xml:space="preserve">Tổ Bế  </v>
          </cell>
          <cell r="N192">
            <v>2</v>
          </cell>
          <cell r="O192">
            <v>7.15</v>
          </cell>
          <cell r="P192">
            <v>0.89375000000000004</v>
          </cell>
          <cell r="Q192">
            <v>2.2377622377622375</v>
          </cell>
          <cell r="R192">
            <v>0.67200067200067193</v>
          </cell>
        </row>
        <row r="193">
          <cell r="C193" t="str">
            <v>Bế hộp Premium Sleek KM Máy 2ng</v>
          </cell>
          <cell r="D193" t="str">
            <v>103022</v>
          </cell>
          <cell r="E193" t="str">
            <v>Máy 2ng</v>
          </cell>
          <cell r="F193" t="str">
            <v>Bế hộp Premium Sleek KM</v>
          </cell>
          <cell r="G193" t="str">
            <v xml:space="preserve">Bế và bó hộp </v>
          </cell>
          <cell r="H193">
            <v>15400702002</v>
          </cell>
          <cell r="I193" t="str">
            <v>1000 Tờ</v>
          </cell>
          <cell r="J193" t="str">
            <v>Máy BTĐ 1,2</v>
          </cell>
          <cell r="K193">
            <v>10300</v>
          </cell>
          <cell r="L193" t="str">
            <v>Hộp 24 lon 330ml</v>
          </cell>
          <cell r="M193" t="str">
            <v xml:space="preserve">Tổ Bế  </v>
          </cell>
          <cell r="N193">
            <v>2</v>
          </cell>
          <cell r="O193">
            <v>7.15</v>
          </cell>
          <cell r="P193">
            <v>0.89375000000000004</v>
          </cell>
          <cell r="Q193">
            <v>2.2377622377622375</v>
          </cell>
          <cell r="R193">
            <v>0.67200067200067193</v>
          </cell>
        </row>
        <row r="194">
          <cell r="C194" t="str">
            <v>Hộp bia Thanh Hoa 24 lon Tết Máy 2ng</v>
          </cell>
          <cell r="D194" t="str">
            <v>103023</v>
          </cell>
          <cell r="E194" t="str">
            <v>Máy 2ng</v>
          </cell>
          <cell r="F194" t="str">
            <v>Hộp bia Thanh Hoa 24 lon Tết</v>
          </cell>
          <cell r="G194" t="str">
            <v xml:space="preserve">Bế và bó hộp </v>
          </cell>
          <cell r="H194">
            <v>15400702002</v>
          </cell>
          <cell r="I194" t="str">
            <v>1000 Tờ</v>
          </cell>
          <cell r="J194" t="str">
            <v>Máy BTĐ 1,2</v>
          </cell>
          <cell r="K194">
            <v>10300</v>
          </cell>
          <cell r="L194" t="str">
            <v>Hộp 24 lon 330ml</v>
          </cell>
          <cell r="M194" t="str">
            <v xml:space="preserve">Tổ Bế  </v>
          </cell>
          <cell r="N194">
            <v>2</v>
          </cell>
          <cell r="O194">
            <v>7.15</v>
          </cell>
          <cell r="P194">
            <v>0.89375000000000004</v>
          </cell>
          <cell r="Q194">
            <v>2.2377622377622375</v>
          </cell>
          <cell r="R194">
            <v>0.67200067200067193</v>
          </cell>
        </row>
        <row r="195">
          <cell r="C195" t="str">
            <v>Hộp bia Thabrew Silver Blue Máy 2ng</v>
          </cell>
          <cell r="D195" t="str">
            <v>103024</v>
          </cell>
          <cell r="E195" t="str">
            <v>Máy 2ng</v>
          </cell>
          <cell r="F195" t="str">
            <v>Hộp bia Thabrew Silver Blue</v>
          </cell>
          <cell r="G195" t="str">
            <v xml:space="preserve">Bế và bó hộp </v>
          </cell>
          <cell r="H195">
            <v>15400702002</v>
          </cell>
          <cell r="I195" t="str">
            <v>1000 Tờ</v>
          </cell>
          <cell r="J195" t="str">
            <v>Máy BTĐ 1,2</v>
          </cell>
          <cell r="K195">
            <v>10300</v>
          </cell>
          <cell r="L195" t="str">
            <v>Hộp 24 lon 330ml</v>
          </cell>
          <cell r="M195" t="str">
            <v xml:space="preserve">Tổ Bế  </v>
          </cell>
          <cell r="N195">
            <v>2</v>
          </cell>
          <cell r="O195">
            <v>7.15</v>
          </cell>
          <cell r="P195">
            <v>0.89375000000000004</v>
          </cell>
          <cell r="Q195">
            <v>2.2377622377622375</v>
          </cell>
          <cell r="R195">
            <v>0.67200067200067193</v>
          </cell>
        </row>
        <row r="196">
          <cell r="C196" t="str">
            <v>Bế hộp Trúc Bạch Sleek Máy 2ng</v>
          </cell>
          <cell r="D196" t="str">
            <v>103025</v>
          </cell>
          <cell r="E196" t="str">
            <v>Máy 2ng</v>
          </cell>
          <cell r="F196" t="str">
            <v>Bế hộp Trúc Bạch Sleek</v>
          </cell>
          <cell r="G196" t="str">
            <v xml:space="preserve">Bế và bó hộp </v>
          </cell>
          <cell r="H196">
            <v>15400702002</v>
          </cell>
          <cell r="I196" t="str">
            <v>1000 Tờ</v>
          </cell>
          <cell r="J196" t="str">
            <v>Máy BTĐ 1,2</v>
          </cell>
          <cell r="K196">
            <v>10300</v>
          </cell>
          <cell r="L196" t="str">
            <v>Hộp 24 lon 330ml</v>
          </cell>
          <cell r="M196" t="str">
            <v xml:space="preserve">Tổ Bế  </v>
          </cell>
          <cell r="N196">
            <v>2</v>
          </cell>
          <cell r="O196">
            <v>7.15</v>
          </cell>
          <cell r="P196">
            <v>0.89375000000000004</v>
          </cell>
          <cell r="Q196">
            <v>2.2377622377622375</v>
          </cell>
          <cell r="R196">
            <v>0.67200067200067193</v>
          </cell>
        </row>
        <row r="197">
          <cell r="C197" t="str">
            <v>Bế hộp Bold Sleek Máy 2ng</v>
          </cell>
          <cell r="D197" t="str">
            <v>103026</v>
          </cell>
          <cell r="E197" t="str">
            <v>Máy 2ng</v>
          </cell>
          <cell r="F197" t="str">
            <v>Bế hộp Bold Sleek</v>
          </cell>
          <cell r="G197" t="str">
            <v xml:space="preserve">Bế và bó hộp </v>
          </cell>
          <cell r="H197">
            <v>15400702002</v>
          </cell>
          <cell r="I197" t="str">
            <v>1000 Tờ</v>
          </cell>
          <cell r="J197" t="str">
            <v>Máy BTĐ 1,2</v>
          </cell>
          <cell r="K197">
            <v>10300</v>
          </cell>
          <cell r="L197" t="str">
            <v>Hộp 24 lon 330ml</v>
          </cell>
          <cell r="M197" t="str">
            <v xml:space="preserve">Tổ Bế  </v>
          </cell>
          <cell r="N197">
            <v>2</v>
          </cell>
          <cell r="O197">
            <v>7.15</v>
          </cell>
          <cell r="P197">
            <v>0.89375000000000004</v>
          </cell>
          <cell r="Q197">
            <v>2.2377622377622375</v>
          </cell>
          <cell r="R197">
            <v>0.67200067200067193</v>
          </cell>
        </row>
        <row r="198">
          <cell r="C198" t="str">
            <v>Bế hộp Uniaqua 500ml Máy 2ng</v>
          </cell>
          <cell r="D198" t="str">
            <v>103027</v>
          </cell>
          <cell r="E198" t="str">
            <v>Máy 2ng</v>
          </cell>
          <cell r="F198" t="str">
            <v>Bế hộp Uniaqua 500ml</v>
          </cell>
          <cell r="G198" t="str">
            <v xml:space="preserve">Bế hộp lẻ(tấm đậy, hộp trưng bày, hộp nước 350) </v>
          </cell>
          <cell r="H198">
            <v>15400702004</v>
          </cell>
          <cell r="I198" t="str">
            <v>1000 Tờ</v>
          </cell>
          <cell r="J198" t="str">
            <v>Máy BTĐ 1,2</v>
          </cell>
          <cell r="L198" t="str">
            <v>Các loại sản phẩm khác</v>
          </cell>
          <cell r="M198" t="str">
            <v xml:space="preserve">Tổ Bế  </v>
          </cell>
          <cell r="N198">
            <v>2</v>
          </cell>
          <cell r="O198">
            <v>6.4900000000000011</v>
          </cell>
          <cell r="P198">
            <v>0.81125000000000014</v>
          </cell>
          <cell r="Q198">
            <v>2.4653312788906003</v>
          </cell>
          <cell r="R198">
            <v>0.74033972339057064</v>
          </cell>
        </row>
        <row r="199">
          <cell r="C199" t="str">
            <v>Bế: hộp bia hơi 500ml Máy 2ng</v>
          </cell>
          <cell r="D199" t="str">
            <v>103028</v>
          </cell>
          <cell r="E199" t="str">
            <v>Máy 2ng</v>
          </cell>
          <cell r="F199" t="str">
            <v>Bế: hộp bia hơi 500ml</v>
          </cell>
          <cell r="G199" t="str">
            <v xml:space="preserve">Bế hộp bia hơi 500ml 12- 24 lon </v>
          </cell>
          <cell r="H199">
            <v>15400702008</v>
          </cell>
          <cell r="I199" t="str">
            <v>1000 Tờ</v>
          </cell>
          <cell r="J199" t="str">
            <v>Máy BTĐ 1,2</v>
          </cell>
          <cell r="L199" t="str">
            <v>Các loại sản phẩm khác</v>
          </cell>
          <cell r="M199" t="str">
            <v xml:space="preserve">Tổ Bế  </v>
          </cell>
          <cell r="N199">
            <v>2</v>
          </cell>
          <cell r="O199">
            <v>6.0500000000000007</v>
          </cell>
          <cell r="P199">
            <v>0.75625000000000009</v>
          </cell>
          <cell r="Q199">
            <v>2.6446280991735533</v>
          </cell>
          <cell r="R199">
            <v>0.79418261236443044</v>
          </cell>
        </row>
        <row r="200">
          <cell r="C200" t="str">
            <v>Bế xách 12 lon Trúc Bạch 500ml Máy 2ng</v>
          </cell>
          <cell r="D200" t="str">
            <v>103029</v>
          </cell>
          <cell r="E200" t="str">
            <v>Máy 2ng</v>
          </cell>
          <cell r="F200" t="str">
            <v>Bế xách 12 lon Trúc Bạch 500ml</v>
          </cell>
          <cell r="G200" t="str">
            <v xml:space="preserve">Bế xách 6, 12 lon 500 ml </v>
          </cell>
          <cell r="H200">
            <v>15400702009</v>
          </cell>
          <cell r="I200" t="str">
            <v>1000 Tờ</v>
          </cell>
          <cell r="J200" t="str">
            <v>Máy BTĐ 1,2</v>
          </cell>
          <cell r="L200" t="str">
            <v>Các loại sản phẩm khác</v>
          </cell>
          <cell r="M200" t="str">
            <v xml:space="preserve">Tổ Bế  </v>
          </cell>
          <cell r="N200">
            <v>2</v>
          </cell>
          <cell r="O200">
            <v>5.83</v>
          </cell>
          <cell r="P200">
            <v>0.72875000000000001</v>
          </cell>
          <cell r="Q200">
            <v>2.7444253859348198</v>
          </cell>
          <cell r="R200">
            <v>0.82415176754799391</v>
          </cell>
        </row>
        <row r="201">
          <cell r="C201" t="str">
            <v>Bế: hộp bia HN Máy 2ng-3</v>
          </cell>
          <cell r="D201" t="str">
            <v>103030</v>
          </cell>
          <cell r="E201" t="str">
            <v>Máy 2ng-3</v>
          </cell>
          <cell r="F201" t="str">
            <v>Bế: hộp bia HN</v>
          </cell>
          <cell r="G201" t="str">
            <v>Bế và bó hộp</v>
          </cell>
          <cell r="H201">
            <v>15400702003</v>
          </cell>
          <cell r="I201" t="str">
            <v>1000 Tờ</v>
          </cell>
          <cell r="J201" t="str">
            <v>Máy BTĐ 3</v>
          </cell>
          <cell r="K201">
            <v>10300</v>
          </cell>
          <cell r="L201" t="str">
            <v>Hộp 24 lon 330ml</v>
          </cell>
          <cell r="M201" t="str">
            <v xml:space="preserve">Tổ Bế  </v>
          </cell>
          <cell r="N201">
            <v>2</v>
          </cell>
          <cell r="O201">
            <v>6.2700000000000005</v>
          </cell>
          <cell r="P201">
            <v>0.78375000000000006</v>
          </cell>
          <cell r="Q201">
            <v>2.5518341307814989</v>
          </cell>
          <cell r="R201">
            <v>0.76631655579023994</v>
          </cell>
        </row>
        <row r="202">
          <cell r="C202" t="str">
            <v>Bế: hộp bia HN- PL Máy 2ng-3</v>
          </cell>
          <cell r="D202" t="str">
            <v>103031</v>
          </cell>
          <cell r="E202" t="str">
            <v>Máy 2ng-3</v>
          </cell>
          <cell r="F202" t="str">
            <v>Bế: hộp bia HN- PL</v>
          </cell>
          <cell r="G202" t="str">
            <v>Bế và bó hộp</v>
          </cell>
          <cell r="H202">
            <v>15400702003</v>
          </cell>
          <cell r="I202" t="str">
            <v>1000 Tờ</v>
          </cell>
          <cell r="J202" t="str">
            <v>Máy BTĐ 3</v>
          </cell>
          <cell r="K202">
            <v>10300</v>
          </cell>
          <cell r="L202" t="str">
            <v>Hộp 24 lon 330ml</v>
          </cell>
          <cell r="M202" t="str">
            <v xml:space="preserve">Tổ Bế  </v>
          </cell>
          <cell r="N202">
            <v>2</v>
          </cell>
          <cell r="O202">
            <v>6.2700000000000005</v>
          </cell>
          <cell r="P202">
            <v>0.78375000000000006</v>
          </cell>
          <cell r="Q202">
            <v>2.5518341307814989</v>
          </cell>
          <cell r="R202">
            <v>0.76631655579023994</v>
          </cell>
        </row>
        <row r="203">
          <cell r="C203" t="str">
            <v>Bế hộp HN xanh Máy 2ng-3</v>
          </cell>
          <cell r="D203" t="str">
            <v>103032</v>
          </cell>
          <cell r="E203" t="str">
            <v>Máy 2ng-3</v>
          </cell>
          <cell r="F203" t="str">
            <v>Bế hộp HN xanh</v>
          </cell>
          <cell r="G203" t="str">
            <v>Bế và bó hộp</v>
          </cell>
          <cell r="H203">
            <v>15400702003</v>
          </cell>
          <cell r="I203" t="str">
            <v>1000 Tờ</v>
          </cell>
          <cell r="J203" t="str">
            <v>Máy BTĐ 3</v>
          </cell>
          <cell r="K203">
            <v>10300</v>
          </cell>
          <cell r="L203" t="str">
            <v>Hộp 24 lon 330ml</v>
          </cell>
          <cell r="M203" t="str">
            <v xml:space="preserve">Tổ Bế  </v>
          </cell>
          <cell r="N203">
            <v>2</v>
          </cell>
          <cell r="O203">
            <v>6.2700000000000005</v>
          </cell>
          <cell r="P203">
            <v>0.78375000000000006</v>
          </cell>
          <cell r="Q203">
            <v>2.5518341307814989</v>
          </cell>
          <cell r="R203">
            <v>0.76631655579023994</v>
          </cell>
        </row>
        <row r="204">
          <cell r="C204" t="str">
            <v>Bế hộp Premium Sleek Máy 2ng-3</v>
          </cell>
          <cell r="D204" t="str">
            <v>103033</v>
          </cell>
          <cell r="E204" t="str">
            <v>Máy 2ng-3</v>
          </cell>
          <cell r="F204" t="str">
            <v>Bế hộp Premium Sleek</v>
          </cell>
          <cell r="G204" t="str">
            <v>Bế và bó hộp</v>
          </cell>
          <cell r="H204">
            <v>15400702003</v>
          </cell>
          <cell r="I204" t="str">
            <v>1000 Tờ</v>
          </cell>
          <cell r="J204" t="str">
            <v>Máy BTĐ 3</v>
          </cell>
          <cell r="K204">
            <v>10300</v>
          </cell>
          <cell r="L204" t="str">
            <v>Hộp 24 lon 330ml</v>
          </cell>
          <cell r="M204" t="str">
            <v xml:space="preserve">Tổ Bế  </v>
          </cell>
          <cell r="N204">
            <v>2</v>
          </cell>
          <cell r="O204">
            <v>6.2700000000000005</v>
          </cell>
          <cell r="P204">
            <v>0.78375000000000006</v>
          </cell>
          <cell r="Q204">
            <v>2.5518341307814989</v>
          </cell>
          <cell r="R204">
            <v>0.76631655579023994</v>
          </cell>
        </row>
        <row r="205">
          <cell r="C205" t="str">
            <v>Hộp bia Thabrew 24 lon Máy 2ng-3</v>
          </cell>
          <cell r="D205" t="str">
            <v>103034</v>
          </cell>
          <cell r="E205" t="str">
            <v>Máy 2ng-3</v>
          </cell>
          <cell r="F205" t="str">
            <v>Hộp bia Thabrew 24 lon</v>
          </cell>
          <cell r="G205" t="str">
            <v>Bế và bó hộp</v>
          </cell>
          <cell r="H205">
            <v>15400702003</v>
          </cell>
          <cell r="I205" t="str">
            <v>1000 Tờ</v>
          </cell>
          <cell r="J205" t="str">
            <v>Máy BTĐ 3</v>
          </cell>
          <cell r="K205">
            <v>10300</v>
          </cell>
          <cell r="L205" t="str">
            <v>Hộp 24 lon 330ml</v>
          </cell>
          <cell r="M205" t="str">
            <v xml:space="preserve">Tổ Bế  </v>
          </cell>
          <cell r="N205">
            <v>2</v>
          </cell>
          <cell r="O205">
            <v>6.2700000000000005</v>
          </cell>
          <cell r="P205">
            <v>0.78375000000000006</v>
          </cell>
          <cell r="Q205">
            <v>2.5518341307814989</v>
          </cell>
          <cell r="R205">
            <v>0.76631655579023994</v>
          </cell>
        </row>
        <row r="206">
          <cell r="C206" t="str">
            <v>Bế hộp HN Tết Máy 2ng-3</v>
          </cell>
          <cell r="D206" t="str">
            <v>103035</v>
          </cell>
          <cell r="E206" t="str">
            <v>Máy 2ng-3</v>
          </cell>
          <cell r="F206" t="str">
            <v>Bế hộp HN Tết</v>
          </cell>
          <cell r="G206" t="str">
            <v>Bế và bó hộp</v>
          </cell>
          <cell r="H206">
            <v>15400702003</v>
          </cell>
          <cell r="I206" t="str">
            <v>1000 Tờ</v>
          </cell>
          <cell r="J206" t="str">
            <v>Máy BTĐ 3</v>
          </cell>
          <cell r="K206">
            <v>10300</v>
          </cell>
          <cell r="L206" t="str">
            <v>Hộp 24 lon 330ml</v>
          </cell>
          <cell r="M206" t="str">
            <v xml:space="preserve">Tổ Bế  </v>
          </cell>
          <cell r="N206">
            <v>2</v>
          </cell>
          <cell r="O206">
            <v>6.2700000000000005</v>
          </cell>
          <cell r="P206">
            <v>0.78375000000000006</v>
          </cell>
          <cell r="Q206">
            <v>2.5518341307814989</v>
          </cell>
          <cell r="R206">
            <v>0.76631655579023994</v>
          </cell>
        </row>
        <row r="207">
          <cell r="C207" t="str">
            <v>Bế hộp Trúc Bạch Sleek Máy 2ng-3</v>
          </cell>
          <cell r="D207" t="str">
            <v>103036</v>
          </cell>
          <cell r="E207" t="str">
            <v>Máy 2ng-3</v>
          </cell>
          <cell r="F207" t="str">
            <v>Bế hộp Trúc Bạch Sleek</v>
          </cell>
          <cell r="G207" t="str">
            <v>Bế và bó hộp</v>
          </cell>
          <cell r="H207">
            <v>15400702003</v>
          </cell>
          <cell r="I207" t="str">
            <v>1000 Tờ</v>
          </cell>
          <cell r="J207" t="str">
            <v>Máy BTĐ 3</v>
          </cell>
          <cell r="K207">
            <v>10300</v>
          </cell>
          <cell r="L207" t="str">
            <v>Hộp 24 lon 330ml</v>
          </cell>
          <cell r="M207" t="str">
            <v xml:space="preserve">Tổ Bế  </v>
          </cell>
          <cell r="N207">
            <v>2</v>
          </cell>
          <cell r="O207">
            <v>6.2700000000000005</v>
          </cell>
          <cell r="P207">
            <v>0.78375000000000006</v>
          </cell>
          <cell r="Q207">
            <v>2.5518341307814989</v>
          </cell>
          <cell r="R207">
            <v>0.76631655579023994</v>
          </cell>
        </row>
        <row r="208">
          <cell r="C208" t="str">
            <v>Bế tấm đậy két Trúc Bạch Máy 2ng-3</v>
          </cell>
          <cell r="D208" t="str">
            <v>103037</v>
          </cell>
          <cell r="E208" t="str">
            <v>Máy 2ng-3</v>
          </cell>
          <cell r="F208" t="str">
            <v>Bế tấm đậy két Trúc Bạch</v>
          </cell>
          <cell r="G208" t="str">
            <v xml:space="preserve">Bế hộp lẻ(tấm đậy, hộp trưng bày, hộp nước 350) </v>
          </cell>
          <cell r="H208">
            <v>15400702005</v>
          </cell>
          <cell r="I208" t="str">
            <v>1000 Tờ</v>
          </cell>
          <cell r="J208" t="str">
            <v>Máy BTĐ 3</v>
          </cell>
          <cell r="L208" t="str">
            <v>Các loại sản phẩm khác</v>
          </cell>
          <cell r="M208" t="str">
            <v xml:space="preserve">Tổ Bế  </v>
          </cell>
          <cell r="N208">
            <v>2</v>
          </cell>
          <cell r="O208">
            <v>5.1700000000000008</v>
          </cell>
          <cell r="P208">
            <v>0.6462500000000001</v>
          </cell>
          <cell r="Q208">
            <v>3.0947775628626686</v>
          </cell>
          <cell r="R208">
            <v>0.92936263149029086</v>
          </cell>
        </row>
        <row r="209">
          <cell r="C209" t="str">
            <v>Bế tấm đậy két Light Máy 2ng-3</v>
          </cell>
          <cell r="D209" t="str">
            <v>103038</v>
          </cell>
          <cell r="E209" t="str">
            <v>Máy 2ng-3</v>
          </cell>
          <cell r="F209" t="str">
            <v>Bế tấm đậy két Light</v>
          </cell>
          <cell r="G209" t="str">
            <v xml:space="preserve">Bế hộp lẻ(tấm đậy, hộp trưng bày, hộp nước 350) </v>
          </cell>
          <cell r="H209">
            <v>15400702005</v>
          </cell>
          <cell r="I209" t="str">
            <v>1000 Tờ</v>
          </cell>
          <cell r="J209" t="str">
            <v>Máy BTĐ 3</v>
          </cell>
          <cell r="L209" t="str">
            <v>Các loại sản phẩm khác</v>
          </cell>
          <cell r="M209" t="str">
            <v xml:space="preserve">Tổ Bế  </v>
          </cell>
          <cell r="N209">
            <v>2</v>
          </cell>
          <cell r="O209">
            <v>5.1700000000000008</v>
          </cell>
          <cell r="P209">
            <v>0.6462500000000001</v>
          </cell>
          <cell r="Q209">
            <v>3.0947775628626686</v>
          </cell>
          <cell r="R209">
            <v>0.92936263149029086</v>
          </cell>
        </row>
        <row r="210">
          <cell r="C210" t="str">
            <v>Bế xách 12 lon Trúc Bạch 500ml Máy 2ng-3</v>
          </cell>
          <cell r="D210" t="str">
            <v>103039</v>
          </cell>
          <cell r="E210" t="str">
            <v>Máy 2ng-3</v>
          </cell>
          <cell r="F210" t="str">
            <v>Bế xách 12 lon Trúc Bạch 500ml</v>
          </cell>
          <cell r="G210" t="str">
            <v xml:space="preserve">Bế xách 6,12 lon 500 ml </v>
          </cell>
          <cell r="H210">
            <v>15400702010</v>
          </cell>
          <cell r="I210" t="str">
            <v>1000 Tờ</v>
          </cell>
          <cell r="J210" t="str">
            <v>Máy BTĐ 3</v>
          </cell>
          <cell r="L210" t="str">
            <v>Các loại sản phẩm khác</v>
          </cell>
          <cell r="M210" t="str">
            <v xml:space="preserve">Tổ Bế  </v>
          </cell>
          <cell r="N210">
            <v>2</v>
          </cell>
          <cell r="O210">
            <v>5.0599999999999996</v>
          </cell>
          <cell r="P210">
            <v>0.63249999999999995</v>
          </cell>
          <cell r="Q210">
            <v>3.1620553359683798</v>
          </cell>
          <cell r="R210">
            <v>0.94956616695747142</v>
          </cell>
        </row>
        <row r="211">
          <cell r="C211" t="str">
            <v>Bế hộp khóa TNAP8082 Máy 2ng-3</v>
          </cell>
          <cell r="D211" t="str">
            <v>103040</v>
          </cell>
          <cell r="E211" t="str">
            <v>Máy 2ng-3</v>
          </cell>
          <cell r="F211" t="str">
            <v>Bế hộp khóa TNAP8082</v>
          </cell>
          <cell r="G211" t="str">
            <v xml:space="preserve">Bế hộp lẻ(tấm đậy, hộp trưng bày, hộp nước 350) </v>
          </cell>
          <cell r="H211">
            <v>15400702005</v>
          </cell>
          <cell r="I211" t="str">
            <v>1000 Tờ</v>
          </cell>
          <cell r="J211" t="str">
            <v>Máy BTĐ 3</v>
          </cell>
          <cell r="L211" t="str">
            <v>Các loại sản phẩm khác</v>
          </cell>
          <cell r="M211" t="str">
            <v xml:space="preserve">Tổ Bế  </v>
          </cell>
          <cell r="N211">
            <v>2</v>
          </cell>
          <cell r="O211">
            <v>5.1700000000000008</v>
          </cell>
          <cell r="P211">
            <v>0.6462500000000001</v>
          </cell>
          <cell r="Q211">
            <v>3.0947775628626686</v>
          </cell>
          <cell r="R211">
            <v>0.92936263149029086</v>
          </cell>
        </row>
        <row r="212">
          <cell r="C212" t="str">
            <v>Bế hộp khóa 7044AP Máy 2ng-3</v>
          </cell>
          <cell r="D212" t="str">
            <v>103041</v>
          </cell>
          <cell r="E212" t="str">
            <v>Máy 2ng-3</v>
          </cell>
          <cell r="F212" t="str">
            <v>Bế hộp khóa 7044AP</v>
          </cell>
          <cell r="G212" t="str">
            <v xml:space="preserve">Bế hộp lẻ(tấm đậy, hộp trưng bày, hộp nước 350) </v>
          </cell>
          <cell r="H212">
            <v>15400702005</v>
          </cell>
          <cell r="I212" t="str">
            <v>1000 Tờ</v>
          </cell>
          <cell r="J212" t="str">
            <v>Máy BTĐ 3</v>
          </cell>
          <cell r="L212" t="str">
            <v>Các loại sản phẩm khác</v>
          </cell>
          <cell r="M212" t="str">
            <v xml:space="preserve">Tổ Bế  </v>
          </cell>
          <cell r="N212">
            <v>2</v>
          </cell>
          <cell r="O212">
            <v>5.1700000000000008</v>
          </cell>
          <cell r="P212">
            <v>0.6462500000000001</v>
          </cell>
          <cell r="Q212">
            <v>3.0947775628626686</v>
          </cell>
          <cell r="R212">
            <v>0.92936263149029086</v>
          </cell>
        </row>
        <row r="213">
          <cell r="C213" t="str">
            <v>Bế xách craft Trúc Bạch Máy 2ng-3</v>
          </cell>
          <cell r="D213" t="str">
            <v>103042</v>
          </cell>
          <cell r="E213" t="str">
            <v>Máy 2ng-3</v>
          </cell>
          <cell r="F213" t="str">
            <v>Bế xách craft Trúc Bạch</v>
          </cell>
          <cell r="G213" t="str">
            <v xml:space="preserve">Bế hộp lẻ(tấm đậy, hộp trưng bày, hộp nước 350) </v>
          </cell>
          <cell r="H213">
            <v>15400702005</v>
          </cell>
          <cell r="I213" t="str">
            <v>1000 Tờ</v>
          </cell>
          <cell r="J213" t="str">
            <v>Máy BTĐ 3</v>
          </cell>
          <cell r="L213" t="str">
            <v>Các loại sản phẩm khác</v>
          </cell>
          <cell r="M213" t="str">
            <v xml:space="preserve">Tổ Bế  </v>
          </cell>
          <cell r="N213">
            <v>2</v>
          </cell>
          <cell r="O213">
            <v>5.1700000000000008</v>
          </cell>
          <cell r="P213">
            <v>0.6462500000000001</v>
          </cell>
          <cell r="Q213">
            <v>3.0947775628626686</v>
          </cell>
          <cell r="R213">
            <v>0.92936263149029086</v>
          </cell>
        </row>
        <row r="214">
          <cell r="C214" t="str">
            <v>Bế hộp TRB-HN xanh vàng KM hè Máy 2ng-3</v>
          </cell>
          <cell r="D214" t="str">
            <v>103043</v>
          </cell>
          <cell r="E214" t="str">
            <v>Máy 2ng-3</v>
          </cell>
          <cell r="F214" t="str">
            <v>Bế hộp TRB-HN xanh vàng KM hè</v>
          </cell>
          <cell r="G214" t="str">
            <v xml:space="preserve">Bế hộp lẻ(tấm đậy, hộp trưng bày, hộp nước 350) </v>
          </cell>
          <cell r="H214">
            <v>15400702005</v>
          </cell>
          <cell r="I214" t="str">
            <v>1000 Tờ</v>
          </cell>
          <cell r="J214" t="str">
            <v>Máy BTĐ 3</v>
          </cell>
          <cell r="L214" t="str">
            <v>Các loại sản phẩm khác</v>
          </cell>
          <cell r="M214" t="str">
            <v xml:space="preserve">Tổ Bế  </v>
          </cell>
          <cell r="N214">
            <v>2</v>
          </cell>
          <cell r="O214">
            <v>5.1700000000000008</v>
          </cell>
          <cell r="P214">
            <v>0.6462500000000001</v>
          </cell>
          <cell r="Q214">
            <v>3.0947775628626686</v>
          </cell>
          <cell r="R214">
            <v>0.92936263149029086</v>
          </cell>
        </row>
        <row r="215">
          <cell r="C215" t="str">
            <v>Kiểm, Đếm bó hộp bia 1 ng</v>
          </cell>
          <cell r="D215" t="str">
            <v>103044</v>
          </cell>
          <cell r="E215" t="str">
            <v>1 ng</v>
          </cell>
          <cell r="F215" t="str">
            <v>Kiểm, Đếm bó hộp bia</v>
          </cell>
          <cell r="G215" t="str">
            <v>Kiểm, Đếm bó hộp bia</v>
          </cell>
          <cell r="H215">
            <v>15400702011</v>
          </cell>
          <cell r="I215" t="str">
            <v>1000 Tờ</v>
          </cell>
          <cell r="M215" t="str">
            <v xml:space="preserve">Tổ Bế  </v>
          </cell>
          <cell r="N215">
            <v>1</v>
          </cell>
          <cell r="O215">
            <v>12.100000000000001</v>
          </cell>
          <cell r="P215">
            <v>1.5125000000000002</v>
          </cell>
          <cell r="Q215">
            <v>0.66115702479338834</v>
          </cell>
          <cell r="R215">
            <v>0.19854565309110761</v>
          </cell>
        </row>
        <row r="216">
          <cell r="C216" t="str">
            <v>Kiểm, Đếm xếp màng co hộp bia 1 ng</v>
          </cell>
          <cell r="D216" t="str">
            <v>103045</v>
          </cell>
          <cell r="E216" t="str">
            <v>1 ng</v>
          </cell>
          <cell r="F216" t="str">
            <v>Kiểm, Đếm xếp màng co hộp bia</v>
          </cell>
          <cell r="G216" t="str">
            <v>Kiểm, Đếm xếp màng co hộp bia</v>
          </cell>
          <cell r="H216">
            <v>15400702012</v>
          </cell>
          <cell r="I216" t="str">
            <v>1000 Tờ</v>
          </cell>
          <cell r="M216" t="str">
            <v xml:space="preserve">Tổ Bế  </v>
          </cell>
          <cell r="N216">
            <v>1</v>
          </cell>
          <cell r="O216">
            <v>13.200000000000001</v>
          </cell>
          <cell r="P216">
            <v>1.6500000000000001</v>
          </cell>
          <cell r="Q216">
            <v>0.60606060606060597</v>
          </cell>
          <cell r="R216">
            <v>0.18200018200018198</v>
          </cell>
        </row>
        <row r="217">
          <cell r="C217" t="str">
            <v>Bó hộp bia khuyến mại (có tem) 1 ng</v>
          </cell>
          <cell r="D217" t="str">
            <v>103046</v>
          </cell>
          <cell r="E217" t="str">
            <v>1 ng</v>
          </cell>
          <cell r="F217" t="str">
            <v>Bó hộp bia khuyến mại (có tem)</v>
          </cell>
          <cell r="G217" t="str">
            <v>Bó hộp bia khuyến mại (có tem)</v>
          </cell>
          <cell r="H217">
            <v>15400702013</v>
          </cell>
          <cell r="I217" t="str">
            <v>1000 Tờ</v>
          </cell>
          <cell r="M217" t="str">
            <v xml:space="preserve">Tổ Bế  </v>
          </cell>
          <cell r="N217">
            <v>1</v>
          </cell>
          <cell r="O217">
            <v>8.8000000000000007</v>
          </cell>
          <cell r="P217">
            <v>1.1000000000000001</v>
          </cell>
          <cell r="Q217">
            <v>0.90909090909090906</v>
          </cell>
          <cell r="R217">
            <v>0.27300027300027296</v>
          </cell>
        </row>
        <row r="218">
          <cell r="C218" t="str">
            <v>Bế: hộp bia hơi 500ml Máy 2ng-3</v>
          </cell>
          <cell r="D218" t="str">
            <v>103047</v>
          </cell>
          <cell r="E218" t="str">
            <v>Máy 2ng-3</v>
          </cell>
          <cell r="F218" t="str">
            <v>Bế: hộp bia hơi 500ml</v>
          </cell>
          <cell r="G218" t="str">
            <v xml:space="preserve">Bế hộp lẻ(tấm đậy, hộp trưng bày, hộp nước 350) </v>
          </cell>
          <cell r="H218">
            <v>15400702005</v>
          </cell>
          <cell r="I218" t="str">
            <v>1000 Tờ</v>
          </cell>
          <cell r="J218" t="str">
            <v>Máy BTĐ 3</v>
          </cell>
          <cell r="L218" t="str">
            <v>Các loại sản phẩm khác</v>
          </cell>
          <cell r="M218" t="str">
            <v xml:space="preserve">Tổ Bế  </v>
          </cell>
          <cell r="N218">
            <v>2</v>
          </cell>
          <cell r="O218">
            <v>5.1700000000000008</v>
          </cell>
          <cell r="P218">
            <v>0.6462500000000001</v>
          </cell>
          <cell r="Q218">
            <v>3.0947775628626686</v>
          </cell>
          <cell r="R218">
            <v>0.92936263149029086</v>
          </cell>
        </row>
        <row r="219">
          <cell r="C219" t="str">
            <v>Bế hộp khóa 704451 Máy 2ng-3</v>
          </cell>
          <cell r="D219" t="str">
            <v>103048</v>
          </cell>
          <cell r="E219" t="str">
            <v>Máy 2ng-3</v>
          </cell>
          <cell r="F219" t="str">
            <v>Bế hộp khóa 704451</v>
          </cell>
          <cell r="G219" t="str">
            <v xml:space="preserve">Bế hộp lẻ(tấm đậy, hộp trưng bày, hộp nước 350) </v>
          </cell>
          <cell r="H219">
            <v>15400702005</v>
          </cell>
          <cell r="I219" t="str">
            <v>1000 Tờ</v>
          </cell>
          <cell r="J219" t="str">
            <v>Máy BTĐ 3</v>
          </cell>
          <cell r="L219" t="str">
            <v>Các loại sản phẩm khác</v>
          </cell>
          <cell r="M219" t="str">
            <v xml:space="preserve">Tổ Bế  </v>
          </cell>
          <cell r="N219">
            <v>2</v>
          </cell>
          <cell r="O219">
            <v>5.1700000000000008</v>
          </cell>
          <cell r="P219">
            <v>0.6462500000000001</v>
          </cell>
          <cell r="Q219">
            <v>3.0947775628626686</v>
          </cell>
          <cell r="R219">
            <v>0.92936263149029086</v>
          </cell>
        </row>
        <row r="220">
          <cell r="C220" t="str">
            <v>Bế xách 6 lon HN vàng Máy 2ng-3</v>
          </cell>
          <cell r="D220" t="str">
            <v>103049</v>
          </cell>
          <cell r="E220" t="str">
            <v>Máy 2ng-3</v>
          </cell>
          <cell r="F220" t="str">
            <v>Bế xách 6 lon HN vàng</v>
          </cell>
          <cell r="G220" t="str">
            <v xml:space="preserve">Bế hộp lẻ(tấm đậy, hộp trưng bày, hộp nước 350) </v>
          </cell>
          <cell r="H220">
            <v>15400702005</v>
          </cell>
          <cell r="I220" t="str">
            <v>1000 Tờ</v>
          </cell>
          <cell r="J220" t="str">
            <v>Máy BTĐ 3</v>
          </cell>
          <cell r="L220" t="str">
            <v>Các loại sản phẩm khác</v>
          </cell>
          <cell r="M220" t="str">
            <v xml:space="preserve">Tổ Bế  </v>
          </cell>
          <cell r="N220">
            <v>2</v>
          </cell>
          <cell r="O220">
            <v>5.1700000000000008</v>
          </cell>
          <cell r="P220">
            <v>0.6462500000000001</v>
          </cell>
          <cell r="Q220">
            <v>3.0947775628626686</v>
          </cell>
          <cell r="R220">
            <v>0.92936263149029086</v>
          </cell>
        </row>
        <row r="221">
          <cell r="C221" t="str">
            <v>Bế xách 6 lon Premium Sleek Máy 2ng-3</v>
          </cell>
          <cell r="D221" t="str">
            <v>103050</v>
          </cell>
          <cell r="E221" t="str">
            <v>Máy 2ng-3</v>
          </cell>
          <cell r="F221" t="str">
            <v>Bế xách 6 lon Premium Sleek</v>
          </cell>
          <cell r="G221" t="str">
            <v xml:space="preserve">Bế hộp lẻ(tấm đậy, hộp trưng bày, hộp nước 350) </v>
          </cell>
          <cell r="H221">
            <v>15400702005</v>
          </cell>
          <cell r="I221" t="str">
            <v>1000 Tờ</v>
          </cell>
          <cell r="J221" t="str">
            <v>Máy BTĐ 3</v>
          </cell>
          <cell r="L221" t="str">
            <v>Các loại sản phẩm khác</v>
          </cell>
          <cell r="M221" t="str">
            <v xml:space="preserve">Tổ Bế  </v>
          </cell>
          <cell r="N221">
            <v>2</v>
          </cell>
          <cell r="O221">
            <v>5.1700000000000008</v>
          </cell>
          <cell r="P221">
            <v>0.6462500000000001</v>
          </cell>
          <cell r="Q221">
            <v>3.0947775628626686</v>
          </cell>
          <cell r="R221">
            <v>0.92936263149029086</v>
          </cell>
        </row>
        <row r="222">
          <cell r="C222" t="str">
            <v>Bế: hộp bia HN Tết Máy 3ng</v>
          </cell>
          <cell r="D222" t="str">
            <v>103051</v>
          </cell>
          <cell r="E222" t="str">
            <v>Máy 3ng</v>
          </cell>
          <cell r="F222" t="str">
            <v>Bế: hộp bia HN Tết</v>
          </cell>
          <cell r="G222" t="str">
            <v xml:space="preserve">Bế hộp </v>
          </cell>
          <cell r="H222">
            <v>15400702001</v>
          </cell>
          <cell r="I222" t="str">
            <v>1001 Tờ</v>
          </cell>
          <cell r="J222" t="str">
            <v>Máy TĐ</v>
          </cell>
          <cell r="K222">
            <v>10300</v>
          </cell>
          <cell r="L222" t="str">
            <v>Hộp 24 lon 330ml</v>
          </cell>
          <cell r="M222" t="str">
            <v xml:space="preserve">Tổ Bế  </v>
          </cell>
          <cell r="N222">
            <v>3</v>
          </cell>
          <cell r="O222">
            <v>24.200000000000003</v>
          </cell>
          <cell r="P222">
            <v>3.0250000000000004</v>
          </cell>
          <cell r="Q222">
            <v>0.99173553719008256</v>
          </cell>
          <cell r="R222">
            <v>0.29781847963666142</v>
          </cell>
        </row>
        <row r="223">
          <cell r="C223" t="str">
            <v>Bế: hộp bia HN Tết Máy 2ng</v>
          </cell>
          <cell r="D223" t="str">
            <v>103052</v>
          </cell>
          <cell r="E223" t="str">
            <v>Máy 2ng</v>
          </cell>
          <cell r="F223" t="str">
            <v>Bế: hộp bia HN Tết</v>
          </cell>
          <cell r="G223" t="str">
            <v xml:space="preserve">Bế và bó hộp </v>
          </cell>
          <cell r="H223">
            <v>15400702002</v>
          </cell>
          <cell r="I223" t="str">
            <v>1000 Tờ</v>
          </cell>
          <cell r="J223" t="str">
            <v>Máy BTĐ 1,2</v>
          </cell>
          <cell r="K223">
            <v>10300</v>
          </cell>
          <cell r="L223" t="str">
            <v>Hộp 24 lon 330ml</v>
          </cell>
          <cell r="M223" t="str">
            <v xml:space="preserve">Tổ Bế  </v>
          </cell>
          <cell r="N223">
            <v>2</v>
          </cell>
          <cell r="O223">
            <v>7.15</v>
          </cell>
          <cell r="P223">
            <v>0.89375000000000004</v>
          </cell>
          <cell r="Q223">
            <v>2.2377622377622375</v>
          </cell>
          <cell r="R223">
            <v>0.67200067200067193</v>
          </cell>
        </row>
        <row r="224">
          <cell r="C224" t="str">
            <v>Bế: hộp bia HN Tết Máy 2ng-3</v>
          </cell>
          <cell r="D224" t="str">
            <v>103053</v>
          </cell>
          <cell r="E224" t="str">
            <v>Máy 2ng-3</v>
          </cell>
          <cell r="F224" t="str">
            <v>Bế: hộp bia HN Tết</v>
          </cell>
          <cell r="G224" t="str">
            <v>Bế và bó hộp</v>
          </cell>
          <cell r="H224">
            <v>15400702003</v>
          </cell>
          <cell r="I224" t="str">
            <v>1000 Tờ</v>
          </cell>
          <cell r="J224" t="str">
            <v>Máy BTĐ 3</v>
          </cell>
          <cell r="K224">
            <v>10300</v>
          </cell>
          <cell r="L224" t="str">
            <v>Hộp 24 lon 330ml</v>
          </cell>
          <cell r="M224" t="str">
            <v xml:space="preserve">Tổ Bế  </v>
          </cell>
          <cell r="N224">
            <v>2</v>
          </cell>
          <cell r="O224">
            <v>6.2700000000000005</v>
          </cell>
          <cell r="P224">
            <v>0.78375000000000006</v>
          </cell>
          <cell r="Q224">
            <v>2.5518341307814989</v>
          </cell>
          <cell r="R224">
            <v>0.76631655579023994</v>
          </cell>
        </row>
        <row r="225">
          <cell r="C225" t="str">
            <v>Sản phẩm tính lương thời gian Máy bế TĐ</v>
          </cell>
          <cell r="D225" t="str">
            <v>SXSP</v>
          </cell>
          <cell r="E225" t="str">
            <v>Máy bế TĐ</v>
          </cell>
          <cell r="F225" t="str">
            <v>Sản phẩm tính lương thời gian</v>
          </cell>
          <cell r="I225" t="str">
            <v>h</v>
          </cell>
        </row>
        <row r="226">
          <cell r="C226" t="str">
            <v>Vệ sinh máy đầu tuần Máy bế TĐ</v>
          </cell>
          <cell r="D226" t="str">
            <v>VSM</v>
          </cell>
          <cell r="E226" t="str">
            <v>Máy bế TĐ</v>
          </cell>
          <cell r="F226" t="str">
            <v>Vệ sinh máy đầu tuần</v>
          </cell>
          <cell r="I226" t="str">
            <v>h</v>
          </cell>
        </row>
        <row r="227">
          <cell r="C227" t="str">
            <v>Sửa máy Máy bế TĐ</v>
          </cell>
          <cell r="D227" t="str">
            <v>SM</v>
          </cell>
          <cell r="E227" t="str">
            <v>Máy bế TĐ</v>
          </cell>
          <cell r="F227" t="str">
            <v>Sửa máy</v>
          </cell>
          <cell r="I227" t="str">
            <v>h</v>
          </cell>
        </row>
        <row r="228">
          <cell r="C228" t="str">
            <v>Bảo dưỡng máy Máy bế TĐ</v>
          </cell>
          <cell r="D228" t="str">
            <v>BDM</v>
          </cell>
          <cell r="E228" t="str">
            <v>Máy bế TĐ</v>
          </cell>
          <cell r="F228" t="str">
            <v>Bảo dưỡng máy</v>
          </cell>
          <cell r="I228" t="str">
            <v>h</v>
          </cell>
        </row>
        <row r="229">
          <cell r="C229" t="str">
            <v>Công việc khác Máy bế TĐ</v>
          </cell>
          <cell r="D229" t="str">
            <v>CVK</v>
          </cell>
          <cell r="E229" t="str">
            <v>Máy bế TĐ</v>
          </cell>
          <cell r="F229" t="str">
            <v>Công việc khác</v>
          </cell>
          <cell r="I229" t="str">
            <v>h</v>
          </cell>
        </row>
        <row r="230">
          <cell r="C230" t="str">
            <v>Chuẩn bị máy theo định mức Máy bế TĐ</v>
          </cell>
          <cell r="D230" t="str">
            <v>TGĐM</v>
          </cell>
          <cell r="E230" t="str">
            <v>Máy bế TĐ</v>
          </cell>
          <cell r="F230" t="str">
            <v>Chuẩn bị máy theo định mức</v>
          </cell>
          <cell r="I230" t="str">
            <v>h</v>
          </cell>
        </row>
        <row r="231">
          <cell r="C231" t="str">
            <v>Chạy mẫu Máy bế TĐ</v>
          </cell>
          <cell r="D231" t="str">
            <v>CMAU</v>
          </cell>
          <cell r="E231" t="str">
            <v>Máy bế TĐ</v>
          </cell>
          <cell r="F231" t="str">
            <v>Chạy mẫu</v>
          </cell>
          <cell r="I231" t="str">
            <v>h</v>
          </cell>
        </row>
        <row r="232">
          <cell r="C232" t="str">
            <v>Chờ việc Máy bế TĐ</v>
          </cell>
          <cell r="D232" t="str">
            <v>CV</v>
          </cell>
          <cell r="E232" t="str">
            <v>Máy bế TĐ</v>
          </cell>
          <cell r="F232" t="str">
            <v>Chờ việc</v>
          </cell>
          <cell r="I232" t="str">
            <v>h</v>
          </cell>
        </row>
        <row r="233">
          <cell r="C233" t="str">
            <v>Sản phẩm tính lương thời gian Máy bế BTĐ</v>
          </cell>
          <cell r="D233" t="str">
            <v>SXSP</v>
          </cell>
          <cell r="E233" t="str">
            <v>Máy bế BTĐ</v>
          </cell>
          <cell r="F233" t="str">
            <v>Sản phẩm tính lương thời gian</v>
          </cell>
          <cell r="I233" t="str">
            <v>h</v>
          </cell>
        </row>
        <row r="234">
          <cell r="C234" t="str">
            <v>Vệ sinh máy đầu tuần Máy bế BTĐ</v>
          </cell>
          <cell r="D234" t="str">
            <v>VSM</v>
          </cell>
          <cell r="E234" t="str">
            <v>Máy bế BTĐ</v>
          </cell>
          <cell r="F234" t="str">
            <v>Vệ sinh máy đầu tuần</v>
          </cell>
          <cell r="I234" t="str">
            <v>h</v>
          </cell>
        </row>
        <row r="235">
          <cell r="C235" t="str">
            <v>Sửa máy Máy bế BTĐ</v>
          </cell>
          <cell r="D235" t="str">
            <v>SM</v>
          </cell>
          <cell r="E235" t="str">
            <v>Máy bế BTĐ</v>
          </cell>
          <cell r="F235" t="str">
            <v>Sửa máy</v>
          </cell>
          <cell r="I235" t="str">
            <v>h</v>
          </cell>
        </row>
        <row r="236">
          <cell r="C236" t="str">
            <v>Bảo dưỡng máy Máy bế BTĐ</v>
          </cell>
          <cell r="D236" t="str">
            <v>BDM</v>
          </cell>
          <cell r="E236" t="str">
            <v>Máy bế BTĐ</v>
          </cell>
          <cell r="F236" t="str">
            <v>Bảo dưỡng máy</v>
          </cell>
          <cell r="I236" t="str">
            <v>h</v>
          </cell>
        </row>
        <row r="237">
          <cell r="C237" t="str">
            <v>Công việc khác Máy bế BTĐ</v>
          </cell>
          <cell r="D237" t="str">
            <v>CVK</v>
          </cell>
          <cell r="E237" t="str">
            <v>Máy bế BTĐ</v>
          </cell>
          <cell r="F237" t="str">
            <v>Công việc khác</v>
          </cell>
          <cell r="I237" t="str">
            <v>h</v>
          </cell>
        </row>
        <row r="238">
          <cell r="C238" t="str">
            <v>Chuẩn bị máy theo định mức Máy bế BTĐ</v>
          </cell>
          <cell r="D238" t="str">
            <v>TGĐM</v>
          </cell>
          <cell r="E238" t="str">
            <v>Máy bế BTĐ</v>
          </cell>
          <cell r="F238" t="str">
            <v>Chuẩn bị máy theo định mức</v>
          </cell>
          <cell r="I238" t="str">
            <v>h</v>
          </cell>
        </row>
        <row r="239">
          <cell r="C239" t="str">
            <v>Chạy mẫu Máy bế BTĐ</v>
          </cell>
          <cell r="D239" t="str">
            <v>CMAU</v>
          </cell>
          <cell r="E239" t="str">
            <v>Máy bế BTĐ</v>
          </cell>
          <cell r="F239" t="str">
            <v>Chạy mẫu</v>
          </cell>
          <cell r="I239" t="str">
            <v>h</v>
          </cell>
        </row>
        <row r="240">
          <cell r="C240" t="str">
            <v>Chờ việc Máy bế BTĐ</v>
          </cell>
          <cell r="D240" t="str">
            <v>CV</v>
          </cell>
          <cell r="E240" t="str">
            <v>Máy bế BTĐ</v>
          </cell>
          <cell r="F240" t="str">
            <v>Chờ việc</v>
          </cell>
          <cell r="I240" t="str">
            <v>h</v>
          </cell>
        </row>
        <row r="241">
          <cell r="F241" t="str">
            <v>Tổ sóng</v>
          </cell>
        </row>
        <row r="242">
          <cell r="C242" t="str">
            <v>Sóng E 818*534 Máy 3ng</v>
          </cell>
          <cell r="D242">
            <v>107001</v>
          </cell>
          <cell r="E242" t="str">
            <v>Máy 3ng</v>
          </cell>
          <cell r="F242" t="str">
            <v>Sóng E 818*534</v>
          </cell>
          <cell r="G242" t="str">
            <v>Sóng E (khổ chuẩn) (24 lon, Sleek, 12 lon)</v>
          </cell>
          <cell r="H242">
            <v>15400703001</v>
          </cell>
          <cell r="I242" t="str">
            <v>1000 tấm</v>
          </cell>
          <cell r="M242" t="str">
            <v>Tổ Sóng</v>
          </cell>
          <cell r="N242">
            <v>3</v>
          </cell>
          <cell r="O242">
            <v>27.825000000000003</v>
          </cell>
          <cell r="P242">
            <v>3.4781250000000004</v>
          </cell>
          <cell r="Q242">
            <v>0.8625336927223719</v>
          </cell>
          <cell r="R242">
            <v>0.2590191269436552</v>
          </cell>
        </row>
        <row r="243">
          <cell r="C243" t="str">
            <v>Sóng E 818*513 Máy 3ng</v>
          </cell>
          <cell r="D243" t="str">
            <v>107002</v>
          </cell>
          <cell r="E243" t="str">
            <v>Máy 3ng</v>
          </cell>
          <cell r="F243" t="str">
            <v>Sóng E 818*513</v>
          </cell>
          <cell r="G243" t="str">
            <v>Sóng E (khổ chuẩn) (24 lon, Sleek, 12 lon)</v>
          </cell>
          <cell r="H243">
            <v>15400703001</v>
          </cell>
          <cell r="I243" t="str">
            <v>1000 tấm</v>
          </cell>
          <cell r="M243" t="str">
            <v>Tổ Sóng</v>
          </cell>
          <cell r="N243">
            <v>3</v>
          </cell>
          <cell r="O243">
            <v>27.825000000000003</v>
          </cell>
          <cell r="P243">
            <v>3.4781250000000004</v>
          </cell>
          <cell r="Q243">
            <v>0.8625336927223719</v>
          </cell>
          <cell r="R243">
            <v>0.2590191269436552</v>
          </cell>
        </row>
        <row r="244">
          <cell r="C244" t="str">
            <v>Sóng E 663*595 Máy 3ng</v>
          </cell>
          <cell r="D244" t="str">
            <v>107003</v>
          </cell>
          <cell r="E244" t="str">
            <v>Máy 3ng</v>
          </cell>
          <cell r="F244" t="str">
            <v>Sóng E 663*595</v>
          </cell>
          <cell r="G244" t="str">
            <v>Sóng có các khổ khác khổ chuẩn (trưng bày, bia hơi, Xách 12 lon 500ml, huy hoàng 80-82, Xách 6 lon 500ml</v>
          </cell>
          <cell r="H244">
            <v>15400703002</v>
          </cell>
          <cell r="I244" t="str">
            <v>1000 tấm</v>
          </cell>
          <cell r="M244" t="str">
            <v>Tổ Sóng</v>
          </cell>
          <cell r="N244">
            <v>3</v>
          </cell>
          <cell r="O244">
            <v>18.900000000000002</v>
          </cell>
          <cell r="P244">
            <v>2.3625000000000003</v>
          </cell>
          <cell r="Q244">
            <v>1.2698412698412698</v>
          </cell>
          <cell r="R244">
            <v>0.38133371466704796</v>
          </cell>
        </row>
        <row r="245">
          <cell r="C245" t="str">
            <v>Sóng E 608*575 Máy 3ng</v>
          </cell>
          <cell r="D245" t="str">
            <v>107004</v>
          </cell>
          <cell r="E245" t="str">
            <v>Máy 3ng</v>
          </cell>
          <cell r="F245" t="str">
            <v>Sóng E 608*575</v>
          </cell>
          <cell r="G245" t="str">
            <v>Sóng có các khổ khác khổ chuẩn (trưng bày, bia hơi, Xách 12 lon 500ml, huy hoàng 80-82, Xách 6 lon 500ml</v>
          </cell>
          <cell r="H245">
            <v>15400703002</v>
          </cell>
          <cell r="I245" t="str">
            <v>1000 tấm</v>
          </cell>
          <cell r="M245" t="str">
            <v>Tổ Sóng</v>
          </cell>
          <cell r="N245">
            <v>3</v>
          </cell>
          <cell r="O245">
            <v>18.900000000000002</v>
          </cell>
          <cell r="P245">
            <v>2.3625000000000003</v>
          </cell>
          <cell r="Q245">
            <v>1.2698412698412698</v>
          </cell>
          <cell r="R245">
            <v>0.38133371466704796</v>
          </cell>
        </row>
        <row r="246">
          <cell r="C246" t="str">
            <v>Sóng E 733*532 Máy 3ng</v>
          </cell>
          <cell r="D246" t="str">
            <v>107005</v>
          </cell>
          <cell r="E246" t="str">
            <v>Máy 3ng</v>
          </cell>
          <cell r="F246" t="str">
            <v>Sóng E 733*532</v>
          </cell>
          <cell r="G246" t="str">
            <v>Sóng có các khổ khác khổ chuẩn (trưng bày, bia hơi, Xách 12 lon 500ml, huy hoàng 80-82, Xách 6 lon 500ml</v>
          </cell>
          <cell r="H246">
            <v>15400703002</v>
          </cell>
          <cell r="I246" t="str">
            <v>1000 tấm</v>
          </cell>
          <cell r="M246" t="str">
            <v>Tổ Sóng</v>
          </cell>
          <cell r="N246">
            <v>3</v>
          </cell>
          <cell r="O246">
            <v>18.900000000000002</v>
          </cell>
          <cell r="P246">
            <v>2.3625000000000003</v>
          </cell>
          <cell r="Q246">
            <v>1.2698412698412698</v>
          </cell>
          <cell r="R246">
            <v>0.38133371466704796</v>
          </cell>
        </row>
        <row r="247">
          <cell r="C247" t="str">
            <v>Sóng E 883*698 Máy 3ng</v>
          </cell>
          <cell r="D247" t="str">
            <v>107006</v>
          </cell>
          <cell r="E247" t="str">
            <v>Máy 3ng</v>
          </cell>
          <cell r="F247" t="str">
            <v>Sóng E 883*698</v>
          </cell>
          <cell r="G247" t="str">
            <v>Sóng có các khổ khác khổ chuẩn (trưng bày, bia hơi, Xách 12 lon 500ml, huy hoàng 80-82, Xách 6 lon 500ml</v>
          </cell>
          <cell r="H247">
            <v>15400703002</v>
          </cell>
          <cell r="I247" t="str">
            <v>1000 tấm</v>
          </cell>
          <cell r="M247" t="str">
            <v>Tổ Sóng</v>
          </cell>
          <cell r="N247">
            <v>3</v>
          </cell>
          <cell r="O247">
            <v>18.900000000000002</v>
          </cell>
          <cell r="P247">
            <v>2.3625000000000003</v>
          </cell>
          <cell r="Q247">
            <v>1.2698412698412698</v>
          </cell>
          <cell r="R247">
            <v>0.38133371466704796</v>
          </cell>
        </row>
        <row r="248">
          <cell r="C248" t="str">
            <v>Sóng B 665*496 Máy 3ng</v>
          </cell>
          <cell r="D248" t="str">
            <v>107007</v>
          </cell>
          <cell r="E248" t="str">
            <v>Máy 3ng</v>
          </cell>
          <cell r="F248" t="str">
            <v>Sóng B 665*496</v>
          </cell>
          <cell r="G248" t="str">
            <v>Sóng B 660 (hộp nước 500ml)</v>
          </cell>
          <cell r="H248">
            <v>15400703003</v>
          </cell>
          <cell r="I248" t="str">
            <v>1000 tấm</v>
          </cell>
          <cell r="M248" t="str">
            <v>Tổ Sóng</v>
          </cell>
          <cell r="N248">
            <v>3</v>
          </cell>
          <cell r="O248">
            <v>23.1</v>
          </cell>
          <cell r="P248">
            <v>2.8875000000000002</v>
          </cell>
          <cell r="Q248">
            <v>1.0389610389610389</v>
          </cell>
          <cell r="R248">
            <v>0.31200031200031197</v>
          </cell>
        </row>
        <row r="249">
          <cell r="C249" t="str">
            <v>Sóng B 933*585 Máy 3ng</v>
          </cell>
          <cell r="D249" t="str">
            <v>107008</v>
          </cell>
          <cell r="E249" t="str">
            <v>Máy 3ng</v>
          </cell>
          <cell r="F249" t="str">
            <v>Sóng B 933*585</v>
          </cell>
          <cell r="G249" t="str">
            <v>Sóng B 933,910  (hộp nước 350ml, Hộp bia hơi 24 lon 500ml)</v>
          </cell>
          <cell r="H249" t="str">
            <v>15400703004</v>
          </cell>
          <cell r="I249" t="str">
            <v>1000 tấm</v>
          </cell>
          <cell r="M249" t="str">
            <v>Tổ Sóng</v>
          </cell>
          <cell r="N249">
            <v>2</v>
          </cell>
          <cell r="O249">
            <v>8.9039999999999999</v>
          </cell>
          <cell r="P249">
            <v>1.113</v>
          </cell>
          <cell r="Q249">
            <v>1.7969451931716083</v>
          </cell>
          <cell r="R249">
            <v>0.53962318113261509</v>
          </cell>
        </row>
        <row r="250">
          <cell r="C250" t="str">
            <v>Sóng B 910*602 Máy 3ng</v>
          </cell>
          <cell r="D250" t="str">
            <v>107009</v>
          </cell>
          <cell r="E250" t="str">
            <v>Máy 3ng</v>
          </cell>
          <cell r="F250" t="str">
            <v>Sóng B 910*602</v>
          </cell>
          <cell r="G250" t="str">
            <v>Sóng B 933,910  (hộp nước 350ml, Hộp bia hơi 24 lon 500ml)</v>
          </cell>
          <cell r="H250" t="str">
            <v>15400703004</v>
          </cell>
          <cell r="I250" t="str">
            <v>1000 tấm</v>
          </cell>
          <cell r="M250" t="str">
            <v>Tổ Sóng</v>
          </cell>
          <cell r="N250">
            <v>2</v>
          </cell>
          <cell r="O250">
            <v>8.9039999999999999</v>
          </cell>
          <cell r="P250">
            <v>1.113</v>
          </cell>
          <cell r="Q250">
            <v>1.7969451931716083</v>
          </cell>
          <cell r="R250">
            <v>0.53962318113261509</v>
          </cell>
        </row>
        <row r="251">
          <cell r="C251" t="str">
            <v>Sản phẩm tính lương thời gian Máy Sóng</v>
          </cell>
          <cell r="D251" t="str">
            <v>SXSP</v>
          </cell>
          <cell r="E251" t="str">
            <v>Máy Sóng</v>
          </cell>
          <cell r="F251" t="str">
            <v>Sản phẩm tính lương thời gian</v>
          </cell>
          <cell r="I251" t="str">
            <v>h</v>
          </cell>
        </row>
        <row r="252">
          <cell r="C252" t="str">
            <v>Vệ sinh máy đầu tuần Máy Sóng</v>
          </cell>
          <cell r="D252" t="str">
            <v>VSM</v>
          </cell>
          <cell r="E252" t="str">
            <v>Máy Sóng</v>
          </cell>
          <cell r="F252" t="str">
            <v>Vệ sinh máy đầu tuần</v>
          </cell>
          <cell r="I252" t="str">
            <v>h</v>
          </cell>
        </row>
        <row r="253">
          <cell r="C253" t="str">
            <v>Sửa máy Máy Sóng</v>
          </cell>
          <cell r="D253" t="str">
            <v>SM</v>
          </cell>
          <cell r="E253" t="str">
            <v>Máy Sóng</v>
          </cell>
          <cell r="F253" t="str">
            <v>Sửa máy</v>
          </cell>
          <cell r="I253" t="str">
            <v>h</v>
          </cell>
        </row>
        <row r="254">
          <cell r="C254" t="str">
            <v>Bảo dưỡng máy Máy Sóng</v>
          </cell>
          <cell r="D254" t="str">
            <v>BDM</v>
          </cell>
          <cell r="E254" t="str">
            <v>Máy Sóng</v>
          </cell>
          <cell r="F254" t="str">
            <v>Bảo dưỡng máy</v>
          </cell>
          <cell r="I254" t="str">
            <v>h</v>
          </cell>
        </row>
        <row r="255">
          <cell r="C255" t="str">
            <v>Công việc khác Máy Sóng</v>
          </cell>
          <cell r="D255" t="str">
            <v>CVK</v>
          </cell>
          <cell r="E255" t="str">
            <v>Máy Sóng</v>
          </cell>
          <cell r="F255" t="str">
            <v>Công việc khác</v>
          </cell>
          <cell r="I255" t="str">
            <v>h</v>
          </cell>
        </row>
        <row r="256">
          <cell r="C256" t="str">
            <v>Chuẩn bị máy theo định mức Máy Sóng</v>
          </cell>
          <cell r="D256" t="str">
            <v>TGĐM</v>
          </cell>
          <cell r="E256" t="str">
            <v>Máy Sóng</v>
          </cell>
          <cell r="F256" t="str">
            <v>Chuẩn bị máy theo định mức</v>
          </cell>
          <cell r="I256" t="str">
            <v>h</v>
          </cell>
        </row>
        <row r="257">
          <cell r="C257" t="str">
            <v>Chạy mẫu Máy Sóng</v>
          </cell>
          <cell r="D257" t="str">
            <v>CMAU</v>
          </cell>
          <cell r="E257" t="str">
            <v>Máy Sóng</v>
          </cell>
          <cell r="F257" t="str">
            <v>Chạy mẫu</v>
          </cell>
          <cell r="I257" t="str">
            <v>h</v>
          </cell>
        </row>
        <row r="258">
          <cell r="C258" t="str">
            <v>Chờ việc Máy Sóng</v>
          </cell>
          <cell r="D258" t="str">
            <v>CV</v>
          </cell>
          <cell r="E258" t="str">
            <v>Máy Sóng</v>
          </cell>
          <cell r="F258" t="str">
            <v>Chờ việc</v>
          </cell>
          <cell r="I258" t="str">
            <v>h</v>
          </cell>
        </row>
        <row r="259">
          <cell r="F259" t="str">
            <v>Chia tờ</v>
          </cell>
        </row>
        <row r="260">
          <cell r="C260" t="str">
            <v>Chia tờ nhãn to 450 Máy 1ng</v>
          </cell>
          <cell r="D260">
            <v>109001</v>
          </cell>
          <cell r="E260" t="str">
            <v>Máy 1ng</v>
          </cell>
          <cell r="F260" t="str">
            <v>Chia tờ nhãn to 450</v>
          </cell>
          <cell r="G260" t="str">
            <v>Chia tờ các loại nhãn</v>
          </cell>
          <cell r="H260">
            <v>15400704001</v>
          </cell>
          <cell r="I260" t="str">
            <v>1000 tờ</v>
          </cell>
          <cell r="K260">
            <v>1090401</v>
          </cell>
          <cell r="L260" t="str">
            <v>Nhãn thân 450</v>
          </cell>
          <cell r="M260" t="str">
            <v>Chia tờ và ép hoa văn</v>
          </cell>
          <cell r="N260">
            <v>1</v>
          </cell>
          <cell r="O260">
            <v>16.8</v>
          </cell>
          <cell r="P260">
            <v>2.1</v>
          </cell>
          <cell r="Q260">
            <v>0.47619047619047616</v>
          </cell>
          <cell r="R260">
            <v>0.14300014300014299</v>
          </cell>
        </row>
        <row r="261">
          <cell r="C261" t="str">
            <v>Chia tờ nhãn nhỏ 450 Máy 1ng</v>
          </cell>
          <cell r="D261" t="str">
            <v>109002</v>
          </cell>
          <cell r="E261" t="str">
            <v>Máy 1ng</v>
          </cell>
          <cell r="F261" t="str">
            <v>Chia tờ nhãn nhỏ 450</v>
          </cell>
          <cell r="G261" t="str">
            <v>Chia tờ các loại nhãn</v>
          </cell>
          <cell r="H261">
            <v>15400704001</v>
          </cell>
          <cell r="I261" t="str">
            <v>1000 tờ</v>
          </cell>
          <cell r="K261">
            <v>1090402</v>
          </cell>
          <cell r="L261" t="str">
            <v>Nhãn lưng 450</v>
          </cell>
          <cell r="M261" t="str">
            <v>Chia tờ và ép hoa văn</v>
          </cell>
          <cell r="N261">
            <v>1</v>
          </cell>
          <cell r="O261">
            <v>16.8</v>
          </cell>
          <cell r="P261">
            <v>2.1</v>
          </cell>
          <cell r="Q261">
            <v>0.47619047619047616</v>
          </cell>
          <cell r="R261">
            <v>0.14300014300014299</v>
          </cell>
        </row>
        <row r="262">
          <cell r="C262" t="str">
            <v>Chia tờ nhãn cổ 330 Máy 1ng</v>
          </cell>
          <cell r="D262" t="str">
            <v>109003</v>
          </cell>
          <cell r="E262" t="str">
            <v>Máy 1ng</v>
          </cell>
          <cell r="F262" t="str">
            <v>Chia tờ nhãn cổ 330</v>
          </cell>
          <cell r="G262" t="str">
            <v>Chia tờ các loại nhãn</v>
          </cell>
          <cell r="H262">
            <v>15400704001</v>
          </cell>
          <cell r="I262" t="str">
            <v>1000 tờ</v>
          </cell>
          <cell r="K262">
            <v>1090409</v>
          </cell>
          <cell r="L262" t="str">
            <v>Cổ 330</v>
          </cell>
          <cell r="M262" t="str">
            <v>Chia tờ và ép hoa văn</v>
          </cell>
          <cell r="N262">
            <v>1</v>
          </cell>
          <cell r="O262">
            <v>16.8</v>
          </cell>
          <cell r="P262">
            <v>2.1</v>
          </cell>
          <cell r="Q262">
            <v>0.47619047619047616</v>
          </cell>
          <cell r="R262">
            <v>0.14300014300014299</v>
          </cell>
        </row>
        <row r="263">
          <cell r="C263" t="str">
            <v>Chia tờ nhãn nhỏ 330 Máy 1ng</v>
          </cell>
          <cell r="D263" t="str">
            <v>109004</v>
          </cell>
          <cell r="E263" t="str">
            <v>Máy 1ng</v>
          </cell>
          <cell r="F263" t="str">
            <v>Chia tờ nhãn nhỏ 330</v>
          </cell>
          <cell r="G263" t="str">
            <v>Chia tờ các loại nhãn</v>
          </cell>
          <cell r="H263">
            <v>15400704001</v>
          </cell>
          <cell r="I263" t="str">
            <v>1000 tờ</v>
          </cell>
          <cell r="K263">
            <v>1090408</v>
          </cell>
          <cell r="L263" t="str">
            <v>Nhãn lưng 330</v>
          </cell>
          <cell r="M263" t="str">
            <v>Chia tờ và ép hoa văn</v>
          </cell>
          <cell r="N263">
            <v>1</v>
          </cell>
          <cell r="O263">
            <v>16.8</v>
          </cell>
          <cell r="P263">
            <v>2.1</v>
          </cell>
          <cell r="Q263">
            <v>0.47619047619047616</v>
          </cell>
          <cell r="R263">
            <v>0.14300014300014299</v>
          </cell>
        </row>
        <row r="264">
          <cell r="C264" t="str">
            <v>Chia tờ nhãn thân 330 Máy 1ng</v>
          </cell>
          <cell r="D264" t="str">
            <v>109005</v>
          </cell>
          <cell r="E264" t="str">
            <v>Máy 1ng</v>
          </cell>
          <cell r="F264" t="str">
            <v>Chia tờ nhãn thân 330</v>
          </cell>
          <cell r="G264" t="str">
            <v>Chia tờ các loại nhãn</v>
          </cell>
          <cell r="H264">
            <v>15400704001</v>
          </cell>
          <cell r="I264" t="str">
            <v>1000 tờ</v>
          </cell>
          <cell r="K264">
            <v>1090407</v>
          </cell>
          <cell r="L264" t="str">
            <v>Nhãn thân 330</v>
          </cell>
          <cell r="M264" t="str">
            <v>Chia tờ và ép hoa văn</v>
          </cell>
          <cell r="N264">
            <v>1</v>
          </cell>
          <cell r="O264">
            <v>16.8</v>
          </cell>
          <cell r="P264">
            <v>2.1</v>
          </cell>
          <cell r="Q264">
            <v>0.47619047619047616</v>
          </cell>
          <cell r="R264">
            <v>0.14300014300014299</v>
          </cell>
        </row>
        <row r="265">
          <cell r="C265" t="str">
            <v>Chia tờ nhãn nhỏ 1890 Máy 1ng</v>
          </cell>
          <cell r="D265" t="str">
            <v>109006</v>
          </cell>
          <cell r="E265" t="str">
            <v>Máy 1ng</v>
          </cell>
          <cell r="F265" t="str">
            <v>Chia tờ nhãn nhỏ 1890</v>
          </cell>
          <cell r="G265" t="str">
            <v>Chia tờ các loại nhãn</v>
          </cell>
          <cell r="H265">
            <v>15400704001</v>
          </cell>
          <cell r="I265" t="str">
            <v>1000 tờ</v>
          </cell>
          <cell r="K265">
            <v>1090405</v>
          </cell>
          <cell r="L265" t="str">
            <v>Nhãn lưng 1890</v>
          </cell>
          <cell r="M265" t="str">
            <v>Chia tờ và ép hoa văn</v>
          </cell>
          <cell r="N265">
            <v>1</v>
          </cell>
          <cell r="O265">
            <v>16.8</v>
          </cell>
          <cell r="P265">
            <v>2.1</v>
          </cell>
          <cell r="Q265">
            <v>0.47619047619047616</v>
          </cell>
          <cell r="R265">
            <v>0.14300014300014299</v>
          </cell>
        </row>
        <row r="266">
          <cell r="C266" t="str">
            <v>Chia tờ nhãn thân 1890 Máy 1ng</v>
          </cell>
          <cell r="D266" t="str">
            <v>109007</v>
          </cell>
          <cell r="E266" t="str">
            <v>Máy 1ng</v>
          </cell>
          <cell r="F266" t="str">
            <v>Chia tờ nhãn thân 1890</v>
          </cell>
          <cell r="G266" t="str">
            <v>Chia tờ các loại nhãn</v>
          </cell>
          <cell r="H266">
            <v>15400704001</v>
          </cell>
          <cell r="I266" t="str">
            <v>1000 tờ</v>
          </cell>
          <cell r="K266">
            <v>1090404</v>
          </cell>
          <cell r="L266" t="str">
            <v>Nhãn thân 1890</v>
          </cell>
          <cell r="M266" t="str">
            <v>Chia tờ và ép hoa văn</v>
          </cell>
          <cell r="N266">
            <v>1</v>
          </cell>
          <cell r="O266">
            <v>16.8</v>
          </cell>
          <cell r="P266">
            <v>2.1</v>
          </cell>
          <cell r="Q266">
            <v>0.47619047619047616</v>
          </cell>
          <cell r="R266">
            <v>0.14300014300014299</v>
          </cell>
        </row>
        <row r="267">
          <cell r="C267" t="str">
            <v>Chia tờ chụp bạc Máy 1ng</v>
          </cell>
          <cell r="D267" t="str">
            <v>109008</v>
          </cell>
          <cell r="E267" t="str">
            <v>Máy 1ng</v>
          </cell>
          <cell r="F267" t="str">
            <v>Chia tờ chụp bạc</v>
          </cell>
          <cell r="G267" t="str">
            <v>Chia tờ các loại chụp bạc</v>
          </cell>
          <cell r="H267" t="str">
            <v>15400704002</v>
          </cell>
          <cell r="I267" t="str">
            <v>1000 tờ</v>
          </cell>
          <cell r="K267">
            <v>1090403</v>
          </cell>
          <cell r="L267" t="str">
            <v>Chụp bạc 450</v>
          </cell>
          <cell r="M267" t="str">
            <v>Chia tờ và ép hoa văn</v>
          </cell>
          <cell r="N267">
            <v>1</v>
          </cell>
          <cell r="O267">
            <v>12.100000000000001</v>
          </cell>
          <cell r="P267">
            <v>1.5125000000000002</v>
          </cell>
          <cell r="Q267">
            <v>0.66115702479338834</v>
          </cell>
          <cell r="R267">
            <v>0.19854565309110761</v>
          </cell>
        </row>
        <row r="268">
          <cell r="C268" t="str">
            <v>Chia tờ chụp bạc 1890 Máy 1ng</v>
          </cell>
          <cell r="D268" t="str">
            <v>109009</v>
          </cell>
          <cell r="E268" t="str">
            <v>Máy 1ng</v>
          </cell>
          <cell r="F268" t="str">
            <v>Chia tờ chụp bạc 1890</v>
          </cell>
          <cell r="G268" t="str">
            <v>Chia tờ các loại chụp bạc</v>
          </cell>
          <cell r="H268" t="str">
            <v>15400704002</v>
          </cell>
          <cell r="I268" t="str">
            <v>1000 tờ</v>
          </cell>
          <cell r="K268">
            <v>1090406</v>
          </cell>
          <cell r="L268" t="str">
            <v>Chụp bạc 1890</v>
          </cell>
          <cell r="M268" t="str">
            <v>Chia tờ và ép hoa văn</v>
          </cell>
          <cell r="N268">
            <v>1</v>
          </cell>
          <cell r="O268">
            <v>12.100000000000001</v>
          </cell>
          <cell r="P268">
            <v>1.5125000000000002</v>
          </cell>
          <cell r="Q268">
            <v>0.66115702479338834</v>
          </cell>
          <cell r="R268">
            <v>0.19854565309110761</v>
          </cell>
        </row>
        <row r="269">
          <cell r="C269" t="str">
            <v>Làm nhăn đột lỗ nhãn cổ 330 Máy 1ng</v>
          </cell>
          <cell r="D269" t="str">
            <v>109010</v>
          </cell>
          <cell r="E269" t="str">
            <v>Máy 1ng</v>
          </cell>
          <cell r="F269" t="str">
            <v>Làm nhăn đột lỗ nhãn cổ 330</v>
          </cell>
          <cell r="G269" t="str">
            <v>Ép hoa văn các loại nhãn</v>
          </cell>
          <cell r="H269" t="str">
            <v>15400704003</v>
          </cell>
          <cell r="I269" t="str">
            <v>1000 m</v>
          </cell>
          <cell r="K269">
            <v>1100409</v>
          </cell>
          <cell r="L269" t="str">
            <v>Cổ 330</v>
          </cell>
          <cell r="M269" t="str">
            <v>Chia tờ và ép hoa văn</v>
          </cell>
          <cell r="N269">
            <v>1</v>
          </cell>
          <cell r="O269">
            <v>27.500000000000004</v>
          </cell>
          <cell r="P269">
            <v>3.4375000000000004</v>
          </cell>
          <cell r="Q269">
            <v>0.29090909090909089</v>
          </cell>
          <cell r="R269">
            <v>8.7360087360087352E-2</v>
          </cell>
        </row>
        <row r="270">
          <cell r="C270" t="str">
            <v>Làm nhăn đột lỗ nhãn thân Máy 1ng</v>
          </cell>
          <cell r="D270" t="str">
            <v>109011</v>
          </cell>
          <cell r="E270" t="str">
            <v>Máy 1ng</v>
          </cell>
          <cell r="F270" t="str">
            <v>Làm nhăn đột lỗ nhãn thân</v>
          </cell>
          <cell r="G270" t="str">
            <v>Ép hoa văn các loại nhãn</v>
          </cell>
          <cell r="H270" t="str">
            <v>15400704003</v>
          </cell>
          <cell r="I270" t="str">
            <v>1000 m</v>
          </cell>
          <cell r="K270">
            <v>1100401</v>
          </cell>
          <cell r="L270" t="str">
            <v>Nhãn thân 450</v>
          </cell>
          <cell r="M270" t="str">
            <v>Chia tờ và ép hoa văn</v>
          </cell>
          <cell r="N270">
            <v>1</v>
          </cell>
          <cell r="O270">
            <v>27.500000000000004</v>
          </cell>
          <cell r="P270">
            <v>3.4375000000000004</v>
          </cell>
          <cell r="Q270">
            <v>0.29090909090909089</v>
          </cell>
          <cell r="R270">
            <v>8.7360087360087352E-2</v>
          </cell>
        </row>
        <row r="271">
          <cell r="C271" t="str">
            <v>Làm nhăn đột lỗ nhãn lưng Máy 1ng</v>
          </cell>
          <cell r="D271" t="str">
            <v>109012</v>
          </cell>
          <cell r="E271" t="str">
            <v>Máy 1ng</v>
          </cell>
          <cell r="F271" t="str">
            <v>Làm nhăn đột lỗ nhãn lưng</v>
          </cell>
          <cell r="G271" t="str">
            <v>Ép hoa văn các loại nhãn</v>
          </cell>
          <cell r="H271" t="str">
            <v>15400704003</v>
          </cell>
          <cell r="I271" t="str">
            <v>1000 m</v>
          </cell>
          <cell r="K271">
            <v>1100402</v>
          </cell>
          <cell r="L271" t="str">
            <v>Nhãn lưng 450</v>
          </cell>
          <cell r="M271" t="str">
            <v>Chia tờ và ép hoa văn</v>
          </cell>
          <cell r="N271">
            <v>1</v>
          </cell>
          <cell r="O271">
            <v>27.500000000000004</v>
          </cell>
          <cell r="P271">
            <v>3.4375000000000004</v>
          </cell>
          <cell r="Q271">
            <v>0.29090909090909089</v>
          </cell>
          <cell r="R271">
            <v>8.7360087360087352E-2</v>
          </cell>
        </row>
        <row r="272">
          <cell r="C272" t="str">
            <v>Làm nhăn đột lỗ nhãn nhỏ 330 Máy 1ng</v>
          </cell>
          <cell r="D272" t="str">
            <v>109013</v>
          </cell>
          <cell r="E272" t="str">
            <v>Máy 1ng</v>
          </cell>
          <cell r="F272" t="str">
            <v>Làm nhăn đột lỗ nhãn nhỏ 330</v>
          </cell>
          <cell r="G272" t="str">
            <v>Ép hoa văn các loại nhãn</v>
          </cell>
          <cell r="H272" t="str">
            <v>15400704003</v>
          </cell>
          <cell r="I272" t="str">
            <v>1000 m</v>
          </cell>
          <cell r="K272">
            <v>1100408</v>
          </cell>
          <cell r="L272" t="str">
            <v>Nhãn lưng 330</v>
          </cell>
          <cell r="M272" t="str">
            <v>Chia tờ và ép hoa văn</v>
          </cell>
          <cell r="N272">
            <v>1</v>
          </cell>
          <cell r="O272">
            <v>27.500000000000004</v>
          </cell>
          <cell r="P272">
            <v>3.4375000000000004</v>
          </cell>
          <cell r="Q272">
            <v>0.29090909090909089</v>
          </cell>
          <cell r="R272">
            <v>8.7360087360087352E-2</v>
          </cell>
        </row>
        <row r="273">
          <cell r="C273" t="str">
            <v>Làm nhăn đột lỗ nhãn thân 330 Máy 1ng</v>
          </cell>
          <cell r="D273" t="str">
            <v>109014</v>
          </cell>
          <cell r="E273" t="str">
            <v>Máy 1ng</v>
          </cell>
          <cell r="F273" t="str">
            <v>Làm nhăn đột lỗ nhãn thân 330</v>
          </cell>
          <cell r="G273" t="str">
            <v>Ép hoa văn các loại nhãn</v>
          </cell>
          <cell r="H273" t="str">
            <v>15400704003</v>
          </cell>
          <cell r="I273" t="str">
            <v>1000 m</v>
          </cell>
          <cell r="K273">
            <v>1100407</v>
          </cell>
          <cell r="L273" t="str">
            <v>Nhãn thân 330</v>
          </cell>
          <cell r="M273" t="str">
            <v>Chia tờ và ép hoa văn</v>
          </cell>
          <cell r="N273">
            <v>1</v>
          </cell>
          <cell r="O273">
            <v>27.500000000000004</v>
          </cell>
          <cell r="P273">
            <v>3.4375000000000004</v>
          </cell>
          <cell r="Q273">
            <v>0.29090909090909089</v>
          </cell>
          <cell r="R273">
            <v>8.7360087360087352E-2</v>
          </cell>
        </row>
        <row r="274">
          <cell r="C274" t="str">
            <v>Làm nhăn đột lỗ nhãn thân 1980 Máy 1ng</v>
          </cell>
          <cell r="D274" t="str">
            <v>109015</v>
          </cell>
          <cell r="E274" t="str">
            <v>Máy 1ng</v>
          </cell>
          <cell r="F274" t="str">
            <v>Làm nhăn đột lỗ nhãn thân 1980</v>
          </cell>
          <cell r="G274" t="str">
            <v>Ép hoa văn các loại nhãn</v>
          </cell>
          <cell r="H274" t="str">
            <v>15400704003</v>
          </cell>
          <cell r="I274" t="str">
            <v>1000 m</v>
          </cell>
          <cell r="K274">
            <v>1100404</v>
          </cell>
          <cell r="L274" t="str">
            <v>Nhãn thân 1890</v>
          </cell>
          <cell r="M274" t="str">
            <v>Chia tờ và ép hoa văn</v>
          </cell>
          <cell r="N274">
            <v>1</v>
          </cell>
          <cell r="O274">
            <v>27.500000000000004</v>
          </cell>
          <cell r="P274">
            <v>3.4375000000000004</v>
          </cell>
          <cell r="Q274">
            <v>0.29090909090909089</v>
          </cell>
          <cell r="R274">
            <v>8.7360087360087352E-2</v>
          </cell>
        </row>
        <row r="275">
          <cell r="C275" t="str">
            <v>Làm nhăn đột lỗ nhãn lưng 1890 Máy 1ng</v>
          </cell>
          <cell r="D275" t="str">
            <v>109016</v>
          </cell>
          <cell r="E275" t="str">
            <v>Máy 1ng</v>
          </cell>
          <cell r="F275" t="str">
            <v>Làm nhăn đột lỗ nhãn lưng 1890</v>
          </cell>
          <cell r="G275" t="str">
            <v>Ép hoa văn các loại nhãn</v>
          </cell>
          <cell r="H275" t="str">
            <v>15400704003</v>
          </cell>
          <cell r="I275" t="str">
            <v>1000 m</v>
          </cell>
          <cell r="K275">
            <v>1100405</v>
          </cell>
          <cell r="L275" t="str">
            <v>Nhãn lưng 1890</v>
          </cell>
          <cell r="M275" t="str">
            <v>Chia tờ và ép hoa văn</v>
          </cell>
          <cell r="N275">
            <v>1</v>
          </cell>
          <cell r="O275">
            <v>27.500000000000004</v>
          </cell>
          <cell r="P275">
            <v>3.4375000000000004</v>
          </cell>
          <cell r="Q275">
            <v>0.29090909090909089</v>
          </cell>
          <cell r="R275">
            <v>8.7360087360087352E-2</v>
          </cell>
        </row>
        <row r="276">
          <cell r="C276" t="str">
            <v>Làm nhăn đột lỗ chụp bạc Máy 1ng</v>
          </cell>
          <cell r="D276" t="str">
            <v>109017</v>
          </cell>
          <cell r="E276" t="str">
            <v>Máy 1ng</v>
          </cell>
          <cell r="F276" t="str">
            <v>Làm nhăn đột lỗ chụp bạc</v>
          </cell>
          <cell r="G276" t="str">
            <v>Ép hoa văn các loại chụp bạc</v>
          </cell>
          <cell r="H276" t="str">
            <v>15400704004</v>
          </cell>
          <cell r="I276" t="str">
            <v>1000 m</v>
          </cell>
          <cell r="K276">
            <v>1100403</v>
          </cell>
          <cell r="L276" t="str">
            <v>Chụp bạc 450</v>
          </cell>
          <cell r="M276" t="str">
            <v>Chia tờ và ép hoa văn</v>
          </cell>
          <cell r="N276">
            <v>1</v>
          </cell>
          <cell r="O276">
            <v>28.6</v>
          </cell>
          <cell r="P276">
            <v>3.5750000000000002</v>
          </cell>
          <cell r="Q276">
            <v>0.27972027972027969</v>
          </cell>
          <cell r="R276">
            <v>8.4000084000083991E-2</v>
          </cell>
        </row>
        <row r="277">
          <cell r="C277" t="str">
            <v>Làm nhăn đột lỗ chụp bạc 1890 Máy 1ng</v>
          </cell>
          <cell r="D277" t="str">
            <v>109018</v>
          </cell>
          <cell r="E277" t="str">
            <v>Máy 1ng</v>
          </cell>
          <cell r="F277" t="str">
            <v>Làm nhăn đột lỗ chụp bạc 1890</v>
          </cell>
          <cell r="G277" t="str">
            <v>Ép hoa văn các loại chụp bạc</v>
          </cell>
          <cell r="H277" t="str">
            <v>15400704004</v>
          </cell>
          <cell r="I277" t="str">
            <v>1000 m</v>
          </cell>
          <cell r="K277">
            <v>1100406</v>
          </cell>
          <cell r="L277" t="str">
            <v>Chụp bạc 1890</v>
          </cell>
          <cell r="M277" t="str">
            <v>Chia tờ và ép hoa văn</v>
          </cell>
          <cell r="N277">
            <v>1</v>
          </cell>
          <cell r="O277">
            <v>28.6</v>
          </cell>
          <cell r="P277">
            <v>3.5750000000000002</v>
          </cell>
          <cell r="Q277">
            <v>0.27972027972027969</v>
          </cell>
          <cell r="R277">
            <v>8.4000084000083991E-2</v>
          </cell>
        </row>
        <row r="278">
          <cell r="C278" t="str">
            <v>Sản phẩm tính lương thời gian Máy chia tờ</v>
          </cell>
          <cell r="D278" t="str">
            <v>SXSP</v>
          </cell>
          <cell r="E278" t="str">
            <v>Máy chia tờ</v>
          </cell>
          <cell r="F278" t="str">
            <v>Sản phẩm tính lương thời gian</v>
          </cell>
          <cell r="I278" t="str">
            <v>h</v>
          </cell>
        </row>
        <row r="279">
          <cell r="C279" t="str">
            <v>Vệ sinh máy đầu tuần Máy chia tờ</v>
          </cell>
          <cell r="D279" t="str">
            <v>VSM</v>
          </cell>
          <cell r="E279" t="str">
            <v>Máy chia tờ</v>
          </cell>
          <cell r="F279" t="str">
            <v>Vệ sinh máy đầu tuần</v>
          </cell>
          <cell r="I279" t="str">
            <v>h</v>
          </cell>
        </row>
        <row r="280">
          <cell r="C280" t="str">
            <v>Sửa máy Máy chia tờ</v>
          </cell>
          <cell r="D280" t="str">
            <v>SM</v>
          </cell>
          <cell r="E280" t="str">
            <v>Máy chia tờ</v>
          </cell>
          <cell r="F280" t="str">
            <v>Sửa máy</v>
          </cell>
          <cell r="I280" t="str">
            <v>h</v>
          </cell>
        </row>
        <row r="281">
          <cell r="C281" t="str">
            <v>Bảo dưỡng máy Máy chia tờ</v>
          </cell>
          <cell r="D281" t="str">
            <v>BDM</v>
          </cell>
          <cell r="E281" t="str">
            <v>Máy chia tờ</v>
          </cell>
          <cell r="F281" t="str">
            <v>Bảo dưỡng máy</v>
          </cell>
          <cell r="I281" t="str">
            <v>h</v>
          </cell>
        </row>
        <row r="282">
          <cell r="C282" t="str">
            <v>Công việc khác Máy chia tờ</v>
          </cell>
          <cell r="D282" t="str">
            <v>CVK</v>
          </cell>
          <cell r="E282" t="str">
            <v>Máy chia tờ</v>
          </cell>
          <cell r="F282" t="str">
            <v>Công việc khác</v>
          </cell>
          <cell r="I282" t="str">
            <v>h</v>
          </cell>
        </row>
        <row r="283">
          <cell r="C283" t="str">
            <v>Chuẩn bị máy theo định mức Máy chia tờ</v>
          </cell>
          <cell r="D283" t="str">
            <v>TGĐM</v>
          </cell>
          <cell r="E283" t="str">
            <v>Máy chia tờ</v>
          </cell>
          <cell r="F283" t="str">
            <v>Chuẩn bị máy theo định mức</v>
          </cell>
          <cell r="I283" t="str">
            <v>h</v>
          </cell>
        </row>
        <row r="284">
          <cell r="C284" t="str">
            <v>Chạy mẫu Máy chia tờ</v>
          </cell>
          <cell r="D284" t="str">
            <v>CMAU</v>
          </cell>
          <cell r="E284" t="str">
            <v>Máy chia tờ</v>
          </cell>
          <cell r="F284" t="str">
            <v>Chạy mẫu</v>
          </cell>
          <cell r="I284" t="str">
            <v>h</v>
          </cell>
        </row>
        <row r="285">
          <cell r="C285" t="str">
            <v>Chờ việc Máy chia tờ</v>
          </cell>
          <cell r="D285" t="str">
            <v>CV</v>
          </cell>
          <cell r="E285" t="str">
            <v>Máy chia tờ</v>
          </cell>
          <cell r="F285" t="str">
            <v>Chờ việc</v>
          </cell>
          <cell r="I285" t="str">
            <v>h</v>
          </cell>
        </row>
        <row r="286">
          <cell r="C286" t="str">
            <v>Sản phẩm tính lương thời gian Máy ép hoa văn</v>
          </cell>
          <cell r="D286" t="str">
            <v>SXSP</v>
          </cell>
          <cell r="E286" t="str">
            <v>Máy ép hoa văn</v>
          </cell>
          <cell r="F286" t="str">
            <v>Sản phẩm tính lương thời gian</v>
          </cell>
          <cell r="I286" t="str">
            <v>h</v>
          </cell>
        </row>
        <row r="287">
          <cell r="C287" t="str">
            <v>Vệ sinh máy đầu tuần Máy ép hoa văn</v>
          </cell>
          <cell r="D287" t="str">
            <v>VSM</v>
          </cell>
          <cell r="E287" t="str">
            <v>Máy ép hoa văn</v>
          </cell>
          <cell r="F287" t="str">
            <v>Vệ sinh máy đầu tuần</v>
          </cell>
          <cell r="I287" t="str">
            <v>h</v>
          </cell>
        </row>
        <row r="288">
          <cell r="C288" t="str">
            <v>Sửa máy Máy ép hoa văn</v>
          </cell>
          <cell r="D288" t="str">
            <v>SM</v>
          </cell>
          <cell r="E288" t="str">
            <v>Máy ép hoa văn</v>
          </cell>
          <cell r="F288" t="str">
            <v>Sửa máy</v>
          </cell>
          <cell r="I288" t="str">
            <v>h</v>
          </cell>
        </row>
        <row r="289">
          <cell r="C289" t="str">
            <v>Bảo dưỡng máy Máy ép hoa văn</v>
          </cell>
          <cell r="D289" t="str">
            <v>BDM</v>
          </cell>
          <cell r="E289" t="str">
            <v>Máy ép hoa văn</v>
          </cell>
          <cell r="F289" t="str">
            <v>Bảo dưỡng máy</v>
          </cell>
          <cell r="I289" t="str">
            <v>h</v>
          </cell>
        </row>
        <row r="290">
          <cell r="C290" t="str">
            <v>Công việc khác Máy ép hoa văn</v>
          </cell>
          <cell r="D290" t="str">
            <v>CVK</v>
          </cell>
          <cell r="E290" t="str">
            <v>Máy ép hoa văn</v>
          </cell>
          <cell r="F290" t="str">
            <v>Công việc khác</v>
          </cell>
          <cell r="I290" t="str">
            <v>h</v>
          </cell>
        </row>
        <row r="291">
          <cell r="C291" t="str">
            <v>Chuẩn bị máy theo định mức Máy ép hoa văn</v>
          </cell>
          <cell r="D291" t="str">
            <v>TGĐM</v>
          </cell>
          <cell r="E291" t="str">
            <v>Máy ép hoa văn</v>
          </cell>
          <cell r="F291" t="str">
            <v>Chuẩn bị máy theo định mức</v>
          </cell>
          <cell r="I291" t="str">
            <v>h</v>
          </cell>
        </row>
        <row r="292">
          <cell r="C292" t="str">
            <v>Chạy mẫu Máy ép hoa văn</v>
          </cell>
          <cell r="D292" t="str">
            <v>CMAU</v>
          </cell>
          <cell r="E292" t="str">
            <v>Máy ép hoa văn</v>
          </cell>
          <cell r="F292" t="str">
            <v>Chạy mẫu</v>
          </cell>
          <cell r="I292" t="str">
            <v>h</v>
          </cell>
        </row>
        <row r="293">
          <cell r="C293" t="str">
            <v>Chờ việc Máy ép hoa văn</v>
          </cell>
          <cell r="D293" t="str">
            <v>CV</v>
          </cell>
          <cell r="E293" t="str">
            <v>Máy ép hoa văn</v>
          </cell>
          <cell r="F293" t="str">
            <v>Chờ việc</v>
          </cell>
          <cell r="I293" t="str">
            <v>h</v>
          </cell>
        </row>
        <row r="294">
          <cell r="F294" t="str">
            <v>Xén</v>
          </cell>
        </row>
        <row r="295">
          <cell r="C295" t="str">
            <v>Xén nhãn to 450  Máy 2ng</v>
          </cell>
          <cell r="D295">
            <v>111001</v>
          </cell>
          <cell r="E295" t="str">
            <v>Máy 2ng</v>
          </cell>
          <cell r="F295" t="str">
            <v xml:space="preserve">Xén nhãn to 450 </v>
          </cell>
          <cell r="G295" t="str">
            <v>Xén nhãn to 450, 1890</v>
          </cell>
          <cell r="H295">
            <v>15400705001</v>
          </cell>
          <cell r="I295" t="str">
            <v>1000 tờ</v>
          </cell>
          <cell r="K295">
            <v>1110401</v>
          </cell>
          <cell r="L295" t="str">
            <v>Nhãn thân 450</v>
          </cell>
          <cell r="M295" t="str">
            <v>Tổ xén</v>
          </cell>
          <cell r="N295">
            <v>2</v>
          </cell>
          <cell r="O295">
            <v>30.250000000000004</v>
          </cell>
          <cell r="P295">
            <v>3.7812500000000004</v>
          </cell>
          <cell r="Q295">
            <v>0.52892561983471065</v>
          </cell>
          <cell r="R295">
            <v>0.15883652247288607</v>
          </cell>
        </row>
        <row r="296">
          <cell r="C296" t="str">
            <v>Xén nhãn nhỏ 450 Máy 2ng</v>
          </cell>
          <cell r="D296" t="str">
            <v>111002</v>
          </cell>
          <cell r="E296" t="str">
            <v>Máy 2ng</v>
          </cell>
          <cell r="F296" t="str">
            <v>Xén nhãn nhỏ 450</v>
          </cell>
          <cell r="G296" t="str">
            <v>Xén nhãn nhỏ 450, 1890</v>
          </cell>
          <cell r="H296">
            <v>15400705002</v>
          </cell>
          <cell r="I296" t="str">
            <v>1000 tờ</v>
          </cell>
          <cell r="K296">
            <v>1110402</v>
          </cell>
          <cell r="L296" t="str">
            <v>Nhãn lưng 450</v>
          </cell>
          <cell r="M296" t="str">
            <v>Tổ xén</v>
          </cell>
          <cell r="N296">
            <v>2</v>
          </cell>
          <cell r="O296">
            <v>18.700000000000003</v>
          </cell>
          <cell r="P296">
            <v>2.3375000000000004</v>
          </cell>
          <cell r="Q296">
            <v>0.85561497326203195</v>
          </cell>
          <cell r="R296">
            <v>0.25694143341202158</v>
          </cell>
        </row>
        <row r="297">
          <cell r="C297" t="str">
            <v>Xén tờ in chụp bạc Máy 2ng</v>
          </cell>
          <cell r="D297" t="str">
            <v>111003</v>
          </cell>
          <cell r="E297" t="str">
            <v>Máy 2ng</v>
          </cell>
          <cell r="F297" t="str">
            <v>Xén tờ in chụp bạc</v>
          </cell>
          <cell r="G297" t="str">
            <v>Xén tờ in chụp bạc 450, 1890</v>
          </cell>
          <cell r="H297">
            <v>15400705006</v>
          </cell>
          <cell r="I297" t="str">
            <v>1000 tờ</v>
          </cell>
          <cell r="K297">
            <v>1110403</v>
          </cell>
          <cell r="L297" t="str">
            <v>Chụp bạc 450</v>
          </cell>
          <cell r="M297" t="str">
            <v>Tổ xén</v>
          </cell>
          <cell r="N297">
            <v>2</v>
          </cell>
          <cell r="O297">
            <v>18.150000000000002</v>
          </cell>
          <cell r="P297">
            <v>2.2687500000000003</v>
          </cell>
          <cell r="Q297">
            <v>0.88154269972451782</v>
          </cell>
          <cell r="R297">
            <v>0.26472753745481015</v>
          </cell>
        </row>
        <row r="298">
          <cell r="C298" t="str">
            <v>Xén tờ in nhãn cổ 330 Máy 2ng</v>
          </cell>
          <cell r="D298" t="str">
            <v>111004</v>
          </cell>
          <cell r="E298" t="str">
            <v>Máy 2ng</v>
          </cell>
          <cell r="F298" t="str">
            <v>Xén tờ in nhãn cổ 330</v>
          </cell>
          <cell r="G298" t="str">
            <v xml:space="preserve">Xén nhãn cổ </v>
          </cell>
          <cell r="H298" t="str">
            <v>15400705012</v>
          </cell>
          <cell r="I298" t="str">
            <v>1000 tờ</v>
          </cell>
          <cell r="K298">
            <v>1110409</v>
          </cell>
          <cell r="L298" t="str">
            <v>Cổ 330</v>
          </cell>
          <cell r="M298" t="str">
            <v>Tổ xén</v>
          </cell>
          <cell r="N298">
            <v>2</v>
          </cell>
          <cell r="O298">
            <v>6.6</v>
          </cell>
          <cell r="P298">
            <v>0.82499999999999996</v>
          </cell>
          <cell r="Q298">
            <v>2.4242424242424243</v>
          </cell>
          <cell r="R298">
            <v>0.72800072800072801</v>
          </cell>
        </row>
        <row r="299">
          <cell r="C299" t="str">
            <v>Xén tờ in nhãn lưng 330 Máy 2ng</v>
          </cell>
          <cell r="D299" t="str">
            <v>111005</v>
          </cell>
          <cell r="E299" t="str">
            <v>Máy 2ng</v>
          </cell>
          <cell r="F299" t="str">
            <v>Xén tờ in nhãn lưng 330</v>
          </cell>
          <cell r="G299" t="str">
            <v>Xén nhãn lưng 330</v>
          </cell>
          <cell r="H299" t="str">
            <v>15400705011</v>
          </cell>
          <cell r="I299" t="str">
            <v>1000 tờ</v>
          </cell>
          <cell r="K299">
            <v>1110408</v>
          </cell>
          <cell r="L299" t="str">
            <v>Nhãn lưng 330</v>
          </cell>
          <cell r="M299" t="str">
            <v>Tổ xén</v>
          </cell>
          <cell r="N299">
            <v>2</v>
          </cell>
          <cell r="O299">
            <v>18.7</v>
          </cell>
          <cell r="P299">
            <v>2.3374999999999999</v>
          </cell>
          <cell r="Q299">
            <v>0.85561497326203206</v>
          </cell>
          <cell r="R299">
            <v>0.25694143341202164</v>
          </cell>
        </row>
        <row r="300">
          <cell r="C300" t="str">
            <v>Xén nhãn to 330  Máy 2ng</v>
          </cell>
          <cell r="D300" t="str">
            <v>111006</v>
          </cell>
          <cell r="E300" t="str">
            <v>Máy 2ng</v>
          </cell>
          <cell r="F300" t="str">
            <v xml:space="preserve">Xén nhãn to 330 </v>
          </cell>
          <cell r="G300" t="str">
            <v>Xén nhãn thân 330</v>
          </cell>
          <cell r="H300" t="str">
            <v>15400705010</v>
          </cell>
          <cell r="I300" t="str">
            <v>1000 tờ</v>
          </cell>
          <cell r="K300">
            <v>1110407</v>
          </cell>
          <cell r="L300" t="str">
            <v>Nhãn thân 330</v>
          </cell>
          <cell r="M300" t="str">
            <v>Tổ xén</v>
          </cell>
          <cell r="N300">
            <v>2</v>
          </cell>
          <cell r="O300">
            <v>30.25</v>
          </cell>
          <cell r="P300">
            <v>3.78125</v>
          </cell>
          <cell r="Q300">
            <v>0.52892561983471076</v>
          </cell>
          <cell r="R300">
            <v>0.1588365224728861</v>
          </cell>
        </row>
        <row r="301">
          <cell r="C301" t="str">
            <v>Xén nhãn to 1890 Máy 2ng</v>
          </cell>
          <cell r="D301" t="str">
            <v>111007</v>
          </cell>
          <cell r="E301" t="str">
            <v>Máy 2ng</v>
          </cell>
          <cell r="F301" t="str">
            <v>Xén nhãn to 1890</v>
          </cell>
          <cell r="G301" t="str">
            <v>Xén nhãn to 450, 1890</v>
          </cell>
          <cell r="H301">
            <v>15400705001</v>
          </cell>
          <cell r="I301" t="str">
            <v>1000 tờ</v>
          </cell>
          <cell r="K301">
            <v>1110404</v>
          </cell>
          <cell r="L301" t="str">
            <v>Nhãn thân 1890</v>
          </cell>
          <cell r="M301" t="str">
            <v>Tổ xén</v>
          </cell>
          <cell r="N301">
            <v>2</v>
          </cell>
          <cell r="O301">
            <v>30.250000000000004</v>
          </cell>
          <cell r="P301">
            <v>3.7812500000000004</v>
          </cell>
          <cell r="Q301">
            <v>0.52892561983471065</v>
          </cell>
          <cell r="R301">
            <v>0.15883652247288607</v>
          </cell>
        </row>
        <row r="302">
          <cell r="C302" t="str">
            <v>Xén nhãn nhỏ 1890 Máy 2ng</v>
          </cell>
          <cell r="D302" t="str">
            <v>111008</v>
          </cell>
          <cell r="E302" t="str">
            <v>Máy 2ng</v>
          </cell>
          <cell r="F302" t="str">
            <v>Xén nhãn nhỏ 1890</v>
          </cell>
          <cell r="G302" t="str">
            <v>Xén nhãn to 450, 1890</v>
          </cell>
          <cell r="H302">
            <v>15400705001</v>
          </cell>
          <cell r="I302" t="str">
            <v>1000 tờ</v>
          </cell>
          <cell r="K302">
            <v>1110405</v>
          </cell>
          <cell r="L302" t="str">
            <v>Nhãn lưng 1890</v>
          </cell>
          <cell r="M302" t="str">
            <v>Tổ xén</v>
          </cell>
          <cell r="N302">
            <v>2</v>
          </cell>
          <cell r="O302">
            <v>30.250000000000004</v>
          </cell>
          <cell r="P302">
            <v>3.7812500000000004</v>
          </cell>
          <cell r="Q302">
            <v>0.52892561983471065</v>
          </cell>
          <cell r="R302">
            <v>0.15883652247288607</v>
          </cell>
        </row>
        <row r="303">
          <cell r="C303" t="str">
            <v>Xén duplex Máy 2ng</v>
          </cell>
          <cell r="D303" t="str">
            <v>111009</v>
          </cell>
          <cell r="E303" t="str">
            <v>Máy 2ng</v>
          </cell>
          <cell r="F303" t="str">
            <v>Xén duplex</v>
          </cell>
          <cell r="G303" t="str">
            <v>Xén Duplex khổ 1090</v>
          </cell>
          <cell r="H303">
            <v>15400705007</v>
          </cell>
          <cell r="I303" t="str">
            <v>1000 tờ</v>
          </cell>
          <cell r="M303" t="str">
            <v>Tổ xén</v>
          </cell>
          <cell r="N303" t="str">
            <v>2</v>
          </cell>
          <cell r="O303">
            <v>56.1</v>
          </cell>
          <cell r="P303">
            <v>7.0125000000000002</v>
          </cell>
          <cell r="Q303">
            <v>0.28520499108734404</v>
          </cell>
          <cell r="R303">
            <v>8.5647144470673883E-2</v>
          </cell>
        </row>
        <row r="304">
          <cell r="C304" t="str">
            <v>Xén Duplex 900*710 Máy 2ng</v>
          </cell>
          <cell r="D304" t="str">
            <v>111010</v>
          </cell>
          <cell r="E304" t="str">
            <v>Máy 2ng</v>
          </cell>
          <cell r="F304" t="str">
            <v>Xén Duplex 900*710</v>
          </cell>
          <cell r="G304" t="str">
            <v>Xén giấy Duplex 1 bát</v>
          </cell>
          <cell r="H304" t="str">
            <v>15400705009</v>
          </cell>
          <cell r="I304" t="str">
            <v>1000 tờ</v>
          </cell>
          <cell r="M304" t="str">
            <v>Tổ xén</v>
          </cell>
          <cell r="N304">
            <v>2</v>
          </cell>
          <cell r="O304">
            <v>47.52</v>
          </cell>
          <cell r="P304">
            <v>5.94</v>
          </cell>
          <cell r="Q304">
            <v>0.33670033670033667</v>
          </cell>
          <cell r="R304">
            <v>0.10111121222232332</v>
          </cell>
        </row>
        <row r="305">
          <cell r="C305" t="str">
            <v>Xén Duplex 850/545 Máy 2ng</v>
          </cell>
          <cell r="D305" t="str">
            <v>111011</v>
          </cell>
          <cell r="E305" t="str">
            <v>Máy 2ng</v>
          </cell>
          <cell r="F305" t="str">
            <v>Xén Duplex 850/545</v>
          </cell>
          <cell r="G305" t="str">
            <v>Xén giấy Duplex 1 bát</v>
          </cell>
          <cell r="H305" t="str">
            <v>15400705009</v>
          </cell>
          <cell r="I305" t="str">
            <v>1000 tờ</v>
          </cell>
          <cell r="M305" t="str">
            <v>Tổ xén</v>
          </cell>
          <cell r="N305">
            <v>2</v>
          </cell>
          <cell r="O305">
            <v>47.52</v>
          </cell>
          <cell r="P305">
            <v>5.94</v>
          </cell>
          <cell r="Q305">
            <v>0.33670033670033667</v>
          </cell>
          <cell r="R305">
            <v>0.10111121222232332</v>
          </cell>
        </row>
        <row r="306">
          <cell r="C306" t="str">
            <v>Sản phẩm tính lương thời gian Máy Xén</v>
          </cell>
          <cell r="D306" t="str">
            <v>SXSP</v>
          </cell>
          <cell r="E306" t="str">
            <v>Máy Xén</v>
          </cell>
          <cell r="F306" t="str">
            <v>Sản phẩm tính lương thời gian</v>
          </cell>
          <cell r="I306" t="str">
            <v>h</v>
          </cell>
        </row>
        <row r="307">
          <cell r="C307" t="str">
            <v>Vệ sinh máy đầu tuần Máy Xén</v>
          </cell>
          <cell r="D307" t="str">
            <v>VSM</v>
          </cell>
          <cell r="E307" t="str">
            <v>Máy Xén</v>
          </cell>
          <cell r="F307" t="str">
            <v>Vệ sinh máy đầu tuần</v>
          </cell>
          <cell r="I307" t="str">
            <v>h</v>
          </cell>
        </row>
        <row r="308">
          <cell r="C308" t="str">
            <v>Sửa máy Máy Xén</v>
          </cell>
          <cell r="D308" t="str">
            <v>SM</v>
          </cell>
          <cell r="E308" t="str">
            <v>Máy Xén</v>
          </cell>
          <cell r="F308" t="str">
            <v>Sửa máy</v>
          </cell>
          <cell r="I308" t="str">
            <v>h</v>
          </cell>
        </row>
        <row r="309">
          <cell r="C309" t="str">
            <v>Bảo dưỡng máy Máy Xén</v>
          </cell>
          <cell r="D309" t="str">
            <v>BDM</v>
          </cell>
          <cell r="E309" t="str">
            <v>Máy Xén</v>
          </cell>
          <cell r="F309" t="str">
            <v>Bảo dưỡng máy</v>
          </cell>
          <cell r="I309" t="str">
            <v>h</v>
          </cell>
        </row>
        <row r="310">
          <cell r="C310" t="str">
            <v>Công việc khác Máy Xén</v>
          </cell>
          <cell r="D310" t="str">
            <v>CVK</v>
          </cell>
          <cell r="E310" t="str">
            <v>Máy Xén</v>
          </cell>
          <cell r="F310" t="str">
            <v>Công việc khác</v>
          </cell>
          <cell r="I310" t="str">
            <v>h</v>
          </cell>
        </row>
        <row r="311">
          <cell r="C311" t="str">
            <v>Chuẩn bị máy theo định mức Máy Xén</v>
          </cell>
          <cell r="D311" t="str">
            <v>TGĐM</v>
          </cell>
          <cell r="E311" t="str">
            <v>Máy Xén</v>
          </cell>
          <cell r="F311" t="str">
            <v>Chuẩn bị máy theo định mức</v>
          </cell>
          <cell r="I311" t="str">
            <v>h</v>
          </cell>
        </row>
        <row r="312">
          <cell r="C312" t="str">
            <v>Chạy mẫu Máy Xén</v>
          </cell>
          <cell r="D312" t="str">
            <v>CMAU</v>
          </cell>
          <cell r="E312" t="str">
            <v>Máy Xén</v>
          </cell>
          <cell r="F312" t="str">
            <v>Chạy mẫu</v>
          </cell>
          <cell r="I312" t="str">
            <v>h</v>
          </cell>
        </row>
        <row r="313">
          <cell r="C313" t="str">
            <v>Chờ việc Máy Xén</v>
          </cell>
          <cell r="D313" t="str">
            <v>CV</v>
          </cell>
          <cell r="E313" t="str">
            <v>Máy Xén</v>
          </cell>
          <cell r="F313" t="str">
            <v>Chờ việc</v>
          </cell>
          <cell r="I313" t="str">
            <v>h</v>
          </cell>
        </row>
        <row r="314">
          <cell r="F314" t="str">
            <v>Đùn</v>
          </cell>
        </row>
        <row r="315">
          <cell r="C315" t="str">
            <v>Đùn nhãn to 450 Máy 1ng</v>
          </cell>
          <cell r="D315">
            <v>112001</v>
          </cell>
          <cell r="E315" t="str">
            <v>Máy 1ng</v>
          </cell>
          <cell r="F315" t="str">
            <v>Đùn nhãn to 450</v>
          </cell>
          <cell r="G315" t="str">
            <v>Bế đùn các loại nhãn thân</v>
          </cell>
          <cell r="H315">
            <v>15400706001</v>
          </cell>
          <cell r="I315" t="str">
            <v>Tr Nhãn</v>
          </cell>
          <cell r="K315">
            <v>1120401</v>
          </cell>
          <cell r="L315" t="str">
            <v>Nhãn thân 450</v>
          </cell>
          <cell r="M315" t="str">
            <v>Bế đùn</v>
          </cell>
          <cell r="N315" t="str">
            <v>1</v>
          </cell>
          <cell r="O315">
            <v>0.52800000000000002</v>
          </cell>
          <cell r="P315">
            <v>6.6000000000000003E-2</v>
          </cell>
          <cell r="Q315">
            <v>15.15151515151515</v>
          </cell>
          <cell r="R315">
            <v>4.5500045500045498</v>
          </cell>
        </row>
        <row r="316">
          <cell r="C316" t="str">
            <v>Đùn chụp bạc  Máy 1ng</v>
          </cell>
          <cell r="D316" t="str">
            <v>112002</v>
          </cell>
          <cell r="E316" t="str">
            <v>Máy 1ng</v>
          </cell>
          <cell r="F316" t="str">
            <v xml:space="preserve">Đùn chụp bạc </v>
          </cell>
          <cell r="G316" t="str">
            <v>Bế đùn các loại chụp bạc</v>
          </cell>
          <cell r="H316">
            <v>15400706002</v>
          </cell>
          <cell r="I316" t="str">
            <v>Tr Nhãn</v>
          </cell>
          <cell r="K316">
            <v>1120402</v>
          </cell>
          <cell r="L316" t="str">
            <v>Chụp bạc 450</v>
          </cell>
          <cell r="M316" t="str">
            <v>Bế đùn</v>
          </cell>
          <cell r="N316" t="str">
            <v>1</v>
          </cell>
          <cell r="O316">
            <v>0.90749999999999997</v>
          </cell>
          <cell r="P316">
            <v>0.1134375</v>
          </cell>
          <cell r="Q316">
            <v>8.8154269972451793</v>
          </cell>
          <cell r="R316">
            <v>2.6472753745481019</v>
          </cell>
        </row>
        <row r="317">
          <cell r="C317" t="str">
            <v>Đùn nhãn cổ 330 Máy 1ng</v>
          </cell>
          <cell r="D317" t="str">
            <v>112003</v>
          </cell>
          <cell r="E317" t="str">
            <v>Máy 1ng</v>
          </cell>
          <cell r="F317" t="str">
            <v>Đùn nhãn cổ 330</v>
          </cell>
          <cell r="G317" t="str">
            <v>Bế đùn nhãn cổ</v>
          </cell>
          <cell r="H317" t="str">
            <v>15400706003</v>
          </cell>
          <cell r="I317" t="str">
            <v>Tr Nhãn</v>
          </cell>
          <cell r="K317">
            <v>1120406</v>
          </cell>
          <cell r="L317" t="str">
            <v>Cổ 330</v>
          </cell>
          <cell r="M317" t="str">
            <v>Bế đùn</v>
          </cell>
          <cell r="N317">
            <v>1</v>
          </cell>
          <cell r="O317">
            <v>0.308</v>
          </cell>
          <cell r="P317">
            <v>3.85E-2</v>
          </cell>
          <cell r="Q317">
            <v>25.974025974025974</v>
          </cell>
          <cell r="R317">
            <v>7.8000078000077995</v>
          </cell>
        </row>
        <row r="318">
          <cell r="C318" t="str">
            <v>Đùn nhãn to 330 Máy 1ng</v>
          </cell>
          <cell r="D318" t="str">
            <v>112004</v>
          </cell>
          <cell r="E318" t="str">
            <v>Máy 1ng</v>
          </cell>
          <cell r="F318" t="str">
            <v>Đùn nhãn to 330</v>
          </cell>
          <cell r="G318" t="str">
            <v>Bế đùn các loại nhãn thân</v>
          </cell>
          <cell r="H318">
            <v>15400706001</v>
          </cell>
          <cell r="I318" t="str">
            <v>Tr Nhãn</v>
          </cell>
          <cell r="K318">
            <v>1120405</v>
          </cell>
          <cell r="L318" t="str">
            <v>Nhãn thân 330</v>
          </cell>
          <cell r="M318" t="str">
            <v>Bế đùn</v>
          </cell>
          <cell r="N318" t="str">
            <v>1</v>
          </cell>
          <cell r="O318">
            <v>0.52800000000000002</v>
          </cell>
          <cell r="P318">
            <v>6.6000000000000003E-2</v>
          </cell>
          <cell r="Q318">
            <v>15.15151515151515</v>
          </cell>
          <cell r="R318">
            <v>4.5500045500045498</v>
          </cell>
        </row>
        <row r="319">
          <cell r="C319" t="str">
            <v>Đùn nhãn to 1890 Máy 1ng</v>
          </cell>
          <cell r="D319" t="str">
            <v>112005</v>
          </cell>
          <cell r="E319" t="str">
            <v>Máy 1ng</v>
          </cell>
          <cell r="F319" t="str">
            <v>Đùn nhãn to 1890</v>
          </cell>
          <cell r="G319" t="str">
            <v>Bế đùn các loại nhãn thân</v>
          </cell>
          <cell r="H319">
            <v>15400706001</v>
          </cell>
          <cell r="I319" t="str">
            <v>Tr Nhãn</v>
          </cell>
          <cell r="K319">
            <v>1120403</v>
          </cell>
          <cell r="L319" t="str">
            <v>Nhãn thân 1890</v>
          </cell>
          <cell r="M319" t="str">
            <v>Bế đùn</v>
          </cell>
          <cell r="N319" t="str">
            <v>1</v>
          </cell>
          <cell r="O319">
            <v>0.52800000000000002</v>
          </cell>
          <cell r="P319">
            <v>6.6000000000000003E-2</v>
          </cell>
          <cell r="Q319">
            <v>15.15151515151515</v>
          </cell>
          <cell r="R319">
            <v>4.5500045500045498</v>
          </cell>
        </row>
        <row r="320">
          <cell r="C320" t="str">
            <v>Đùn CB 1890 Máy 1ng</v>
          </cell>
          <cell r="D320" t="str">
            <v>112006</v>
          </cell>
          <cell r="E320" t="str">
            <v>Máy 1ng</v>
          </cell>
          <cell r="F320" t="str">
            <v>Đùn CB 1890</v>
          </cell>
          <cell r="G320" t="str">
            <v>Bế đùn các loại chụp bạc</v>
          </cell>
          <cell r="H320">
            <v>15400706002</v>
          </cell>
          <cell r="I320" t="str">
            <v>Tr Nhãn</v>
          </cell>
          <cell r="K320">
            <v>1120404</v>
          </cell>
          <cell r="L320" t="str">
            <v>Chụp bạc 1890</v>
          </cell>
          <cell r="M320" t="str">
            <v>Bế đùn</v>
          </cell>
          <cell r="N320" t="str">
            <v>1</v>
          </cell>
          <cell r="O320">
            <v>0.90749999999999997</v>
          </cell>
          <cell r="P320">
            <v>0.1134375</v>
          </cell>
          <cell r="Q320">
            <v>8.8154269972451793</v>
          </cell>
          <cell r="R320">
            <v>2.6472753745481019</v>
          </cell>
        </row>
        <row r="321">
          <cell r="C321" t="str">
            <v>Sản phẩm tính lương thời gian Máy đùn tem</v>
          </cell>
          <cell r="D321" t="str">
            <v>SXSP</v>
          </cell>
          <cell r="E321" t="str">
            <v>Máy đùn tem</v>
          </cell>
          <cell r="F321" t="str">
            <v>Sản phẩm tính lương thời gian</v>
          </cell>
          <cell r="I321" t="str">
            <v>h</v>
          </cell>
        </row>
        <row r="322">
          <cell r="C322" t="str">
            <v>Vệ sinh máy đầu tuần Máy đùn tem</v>
          </cell>
          <cell r="D322" t="str">
            <v>VSM</v>
          </cell>
          <cell r="E322" t="str">
            <v>Máy đùn tem</v>
          </cell>
          <cell r="F322" t="str">
            <v>Vệ sinh máy đầu tuần</v>
          </cell>
          <cell r="I322" t="str">
            <v>h</v>
          </cell>
        </row>
        <row r="323">
          <cell r="C323" t="str">
            <v>Sửa máy Máy đùn tem</v>
          </cell>
          <cell r="D323" t="str">
            <v>SM</v>
          </cell>
          <cell r="E323" t="str">
            <v>Máy đùn tem</v>
          </cell>
          <cell r="F323" t="str">
            <v>Sửa máy</v>
          </cell>
          <cell r="I323" t="str">
            <v>h</v>
          </cell>
        </row>
        <row r="324">
          <cell r="C324" t="str">
            <v>Bảo dưỡng máy Máy đùn tem</v>
          </cell>
          <cell r="D324" t="str">
            <v>BDM</v>
          </cell>
          <cell r="E324" t="str">
            <v>Máy đùn tem</v>
          </cell>
          <cell r="F324" t="str">
            <v>Bảo dưỡng máy</v>
          </cell>
          <cell r="I324" t="str">
            <v>h</v>
          </cell>
        </row>
        <row r="325">
          <cell r="C325" t="str">
            <v>Công việc khác Máy đùn tem</v>
          </cell>
          <cell r="D325" t="str">
            <v>CVK</v>
          </cell>
          <cell r="E325" t="str">
            <v>Máy đùn tem</v>
          </cell>
          <cell r="F325" t="str">
            <v>Công việc khác</v>
          </cell>
          <cell r="I325" t="str">
            <v>h</v>
          </cell>
        </row>
        <row r="326">
          <cell r="C326" t="str">
            <v>Chuẩn bị máy theo định mức Máy đùn tem</v>
          </cell>
          <cell r="D326" t="str">
            <v>TGĐM</v>
          </cell>
          <cell r="E326" t="str">
            <v>Máy đùn tem</v>
          </cell>
          <cell r="F326" t="str">
            <v>Chuẩn bị máy theo định mức</v>
          </cell>
          <cell r="I326" t="str">
            <v>h</v>
          </cell>
        </row>
        <row r="327">
          <cell r="C327" t="str">
            <v>Chạy mẫu Máy đùn tem</v>
          </cell>
          <cell r="D327" t="str">
            <v>CMAU</v>
          </cell>
          <cell r="E327" t="str">
            <v>Máy đùn tem</v>
          </cell>
          <cell r="F327" t="str">
            <v>Chạy mẫu</v>
          </cell>
          <cell r="I327" t="str">
            <v>h</v>
          </cell>
        </row>
        <row r="328">
          <cell r="C328" t="str">
            <v>Chờ việc Máy đùn tem</v>
          </cell>
          <cell r="D328" t="str">
            <v>CV</v>
          </cell>
          <cell r="E328" t="str">
            <v>Máy đùn tem</v>
          </cell>
          <cell r="F328" t="str">
            <v>Chờ việc</v>
          </cell>
          <cell r="I328" t="str">
            <v>h</v>
          </cell>
        </row>
        <row r="329">
          <cell r="F329" t="str">
            <v>Tổ KCS</v>
          </cell>
        </row>
        <row r="330">
          <cell r="C330" t="str">
            <v>Kiểm tờ in nhãn thân 450ml 36 bát 1 ng</v>
          </cell>
          <cell r="D330">
            <v>106001</v>
          </cell>
          <cell r="E330" t="str">
            <v>1 ng</v>
          </cell>
          <cell r="F330" t="str">
            <v>Kiểm tờ in nhãn thân 450ml 36 bát</v>
          </cell>
          <cell r="G330" t="str">
            <v>Kiểm tờ nhãn thân</v>
          </cell>
          <cell r="H330">
            <v>15400708001</v>
          </cell>
          <cell r="I330" t="str">
            <v>1000 tờ</v>
          </cell>
          <cell r="M330" t="str">
            <v>Tổ KCS</v>
          </cell>
          <cell r="N330">
            <v>1</v>
          </cell>
          <cell r="O330">
            <v>31.35</v>
          </cell>
          <cell r="P330">
            <v>3.9187500000000002</v>
          </cell>
          <cell r="Q330">
            <v>0.2551834130781499</v>
          </cell>
          <cell r="R330">
            <v>7.6631655579023988E-2</v>
          </cell>
        </row>
        <row r="331">
          <cell r="C331" t="str">
            <v>Kiểm tờ in nhãn thân bia Premium 330 ml 1 ng</v>
          </cell>
          <cell r="D331" t="str">
            <v>106002</v>
          </cell>
          <cell r="E331" t="str">
            <v>1 ng</v>
          </cell>
          <cell r="F331" t="str">
            <v>Kiểm tờ in nhãn thân bia Premium 330 ml</v>
          </cell>
          <cell r="G331" t="str">
            <v>Kiểm tờ nhãn thân</v>
          </cell>
          <cell r="H331">
            <v>15400708001</v>
          </cell>
          <cell r="I331" t="str">
            <v>1000 tờ</v>
          </cell>
          <cell r="M331" t="str">
            <v>Tổ KCS</v>
          </cell>
          <cell r="N331">
            <v>1</v>
          </cell>
          <cell r="O331">
            <v>31.35</v>
          </cell>
          <cell r="P331">
            <v>3.9187500000000002</v>
          </cell>
          <cell r="Q331">
            <v>0.2551834130781499</v>
          </cell>
          <cell r="R331">
            <v>7.6631655579023988E-2</v>
          </cell>
        </row>
        <row r="332">
          <cell r="C332" t="str">
            <v>Kiểm tờ in nhãn lưng 450ml 72 bát 1 ng</v>
          </cell>
          <cell r="D332" t="str">
            <v>106003</v>
          </cell>
          <cell r="E332" t="str">
            <v>1 ng</v>
          </cell>
          <cell r="F332" t="str">
            <v>Kiểm tờ in nhãn lưng 450ml 72 bát</v>
          </cell>
          <cell r="G332" t="str">
            <v>Kiểm tờ in nhãn lưng</v>
          </cell>
          <cell r="H332">
            <v>15400708002</v>
          </cell>
          <cell r="I332" t="str">
            <v>1000 tờ</v>
          </cell>
          <cell r="M332" t="str">
            <v>Tổ KCS</v>
          </cell>
          <cell r="N332">
            <v>1</v>
          </cell>
          <cell r="O332">
            <v>29.700000000000003</v>
          </cell>
          <cell r="P332">
            <v>3.7125000000000004</v>
          </cell>
          <cell r="Q332">
            <v>0.26936026936026936</v>
          </cell>
          <cell r="R332">
            <v>8.0888969777858657E-2</v>
          </cell>
        </row>
        <row r="333">
          <cell r="C333" t="str">
            <v>Kiểm hộp bia HN thường 24 lon 1 ng</v>
          </cell>
          <cell r="D333" t="str">
            <v>106004</v>
          </cell>
          <cell r="E333" t="str">
            <v>1 ng</v>
          </cell>
          <cell r="F333" t="str">
            <v>Kiểm hộp bia HN thường 24 lon</v>
          </cell>
          <cell r="G333" t="str">
            <v>Kiểm hộp bia</v>
          </cell>
          <cell r="H333">
            <v>15400708003</v>
          </cell>
          <cell r="I333" t="str">
            <v>1000 tờ</v>
          </cell>
          <cell r="M333" t="str">
            <v>Tổ KCS</v>
          </cell>
          <cell r="N333">
            <v>1</v>
          </cell>
          <cell r="O333">
            <v>31.35</v>
          </cell>
          <cell r="P333">
            <v>3.9187500000000002</v>
          </cell>
          <cell r="Q333">
            <v>0.2551834130781499</v>
          </cell>
          <cell r="R333">
            <v>7.6631655579023988E-2</v>
          </cell>
        </row>
        <row r="334">
          <cell r="C334" t="str">
            <v>Kiểm hộp bia HN thường 24 lon mẫu mới 1 ng</v>
          </cell>
          <cell r="D334" t="str">
            <v>106005</v>
          </cell>
          <cell r="E334" t="str">
            <v>1 ng</v>
          </cell>
          <cell r="F334" t="str">
            <v>Kiểm hộp bia HN thường 24 lon mẫu mới</v>
          </cell>
          <cell r="G334" t="str">
            <v>Kiểm hộp bia</v>
          </cell>
          <cell r="H334">
            <v>15400708003</v>
          </cell>
          <cell r="I334" t="str">
            <v>1000 tờ</v>
          </cell>
          <cell r="M334" t="str">
            <v>Tổ KCS</v>
          </cell>
          <cell r="N334">
            <v>1</v>
          </cell>
          <cell r="O334">
            <v>31.35</v>
          </cell>
          <cell r="P334">
            <v>3.9187500000000002</v>
          </cell>
          <cell r="Q334">
            <v>0.2551834130781499</v>
          </cell>
          <cell r="R334">
            <v>7.6631655579023988E-2</v>
          </cell>
        </row>
        <row r="335">
          <cell r="C335" t="str">
            <v>Kiểm tờ in hộp HN xanh 24 lon mẫu mới 1 ng</v>
          </cell>
          <cell r="D335" t="str">
            <v>106006</v>
          </cell>
          <cell r="E335" t="str">
            <v>1 ng</v>
          </cell>
          <cell r="F335" t="str">
            <v>Kiểm tờ in hộp HN xanh 24 lon mẫu mới</v>
          </cell>
          <cell r="G335" t="str">
            <v>Kiểm hộp bia</v>
          </cell>
          <cell r="H335">
            <v>15400708003</v>
          </cell>
          <cell r="I335" t="str">
            <v>1000 tờ</v>
          </cell>
          <cell r="M335" t="str">
            <v>Tổ KCS</v>
          </cell>
          <cell r="N335">
            <v>1</v>
          </cell>
          <cell r="O335">
            <v>31.35</v>
          </cell>
          <cell r="P335">
            <v>3.9187500000000002</v>
          </cell>
          <cell r="Q335">
            <v>0.2551834130781499</v>
          </cell>
          <cell r="R335">
            <v>7.6631655579023988E-2</v>
          </cell>
        </row>
        <row r="336">
          <cell r="C336" t="str">
            <v>Kiểm tờ in hộp Uniaqua 350ml 1 ng</v>
          </cell>
          <cell r="D336" t="str">
            <v>106007</v>
          </cell>
          <cell r="E336" t="str">
            <v>1 ng</v>
          </cell>
          <cell r="F336" t="str">
            <v>Kiểm tờ in hộp Uniaqua 350ml</v>
          </cell>
          <cell r="G336" t="str">
            <v>Kiểm hộp bia</v>
          </cell>
          <cell r="H336">
            <v>15400708003</v>
          </cell>
          <cell r="I336" t="str">
            <v>1000 tờ</v>
          </cell>
          <cell r="M336" t="str">
            <v>Tổ KCS</v>
          </cell>
          <cell r="N336">
            <v>1</v>
          </cell>
          <cell r="O336">
            <v>31.35</v>
          </cell>
          <cell r="P336">
            <v>3.9187500000000002</v>
          </cell>
          <cell r="Q336">
            <v>0.2551834130781499</v>
          </cell>
          <cell r="R336">
            <v>7.6631655579023988E-2</v>
          </cell>
        </row>
        <row r="337">
          <cell r="C337" t="str">
            <v>Kiểm hộp bia carton 330ml 1 ng</v>
          </cell>
          <cell r="D337" t="str">
            <v>106008</v>
          </cell>
          <cell r="E337" t="str">
            <v>1 ng</v>
          </cell>
          <cell r="F337" t="str">
            <v>Kiểm hộp bia carton 330ml</v>
          </cell>
          <cell r="G337" t="str">
            <v>Kiểm hộp bia</v>
          </cell>
          <cell r="H337">
            <v>15400708003</v>
          </cell>
          <cell r="I337" t="str">
            <v>1000 tờ</v>
          </cell>
          <cell r="M337" t="str">
            <v>Tổ KCS</v>
          </cell>
          <cell r="N337">
            <v>1</v>
          </cell>
          <cell r="O337">
            <v>31.35</v>
          </cell>
          <cell r="P337">
            <v>3.9187500000000002</v>
          </cell>
          <cell r="Q337">
            <v>0.2551834130781499</v>
          </cell>
          <cell r="R337">
            <v>7.6631655579023988E-2</v>
          </cell>
        </row>
        <row r="338">
          <cell r="C338" t="str">
            <v>Kiểm hộp Thanh Hoa  24 lon 1 ng</v>
          </cell>
          <cell r="D338" t="str">
            <v>106009</v>
          </cell>
          <cell r="E338" t="str">
            <v>1 ng</v>
          </cell>
          <cell r="F338" t="str">
            <v>Kiểm hộp Thanh Hoa  24 lon</v>
          </cell>
          <cell r="G338" t="str">
            <v>Kiểm hộp bia</v>
          </cell>
          <cell r="H338">
            <v>15400708003</v>
          </cell>
          <cell r="I338" t="str">
            <v>1000 tờ</v>
          </cell>
          <cell r="M338" t="str">
            <v>Tổ KCS</v>
          </cell>
          <cell r="N338">
            <v>1</v>
          </cell>
          <cell r="O338">
            <v>31.35</v>
          </cell>
          <cell r="P338">
            <v>3.9187500000000002</v>
          </cell>
          <cell r="Q338">
            <v>0.2551834130781499</v>
          </cell>
          <cell r="R338">
            <v>7.6631655579023988E-2</v>
          </cell>
        </row>
        <row r="339">
          <cell r="C339" t="str">
            <v>Kiểm hộp bia Trúc Bạch Sleek 24 lon  1 ng</v>
          </cell>
          <cell r="D339" t="str">
            <v>106010</v>
          </cell>
          <cell r="E339" t="str">
            <v>1 ng</v>
          </cell>
          <cell r="F339" t="str">
            <v xml:space="preserve">Kiểm hộp bia Trúc Bạch Sleek 24 lon </v>
          </cell>
          <cell r="G339" t="str">
            <v>Kiểm hộp bia</v>
          </cell>
          <cell r="H339">
            <v>15400708003</v>
          </cell>
          <cell r="I339" t="str">
            <v>1000 tờ</v>
          </cell>
          <cell r="M339" t="str">
            <v>Tổ KCS</v>
          </cell>
          <cell r="N339">
            <v>1</v>
          </cell>
          <cell r="O339">
            <v>31.35</v>
          </cell>
          <cell r="P339">
            <v>3.9187500000000002</v>
          </cell>
          <cell r="Q339">
            <v>0.2551834130781499</v>
          </cell>
          <cell r="R339">
            <v>7.6631655579023988E-2</v>
          </cell>
        </row>
        <row r="340">
          <cell r="C340" t="str">
            <v>Kiểm hộp bia Premium Sleek 24 lon 1 ng</v>
          </cell>
          <cell r="D340" t="str">
            <v>106011</v>
          </cell>
          <cell r="E340" t="str">
            <v>1 ng</v>
          </cell>
          <cell r="F340" t="str">
            <v>Kiểm hộp bia Premium Sleek 24 lon</v>
          </cell>
          <cell r="G340" t="str">
            <v>Kiểm hộp bia</v>
          </cell>
          <cell r="H340">
            <v>15400708003</v>
          </cell>
          <cell r="I340" t="str">
            <v>1000 tờ</v>
          </cell>
          <cell r="M340" t="str">
            <v>Tổ KCS</v>
          </cell>
          <cell r="N340">
            <v>1</v>
          </cell>
          <cell r="O340">
            <v>31.35</v>
          </cell>
          <cell r="P340">
            <v>3.9187500000000002</v>
          </cell>
          <cell r="Q340">
            <v>0.2551834130781499</v>
          </cell>
          <cell r="R340">
            <v>7.6631655579023988E-2</v>
          </cell>
        </row>
        <row r="341">
          <cell r="C341" t="str">
            <v>Kiểm tờ hộp Thabrew Silver 1 ng</v>
          </cell>
          <cell r="D341" t="str">
            <v>106012</v>
          </cell>
          <cell r="E341" t="str">
            <v>1 ng</v>
          </cell>
          <cell r="F341" t="str">
            <v>Kiểm tờ hộp Thabrew Silver</v>
          </cell>
          <cell r="G341" t="str">
            <v>Kiểm hộp bia</v>
          </cell>
          <cell r="H341">
            <v>15400708003</v>
          </cell>
          <cell r="I341" t="str">
            <v>1000 tờ</v>
          </cell>
          <cell r="M341" t="str">
            <v>Tổ KCS</v>
          </cell>
          <cell r="N341">
            <v>1</v>
          </cell>
          <cell r="O341">
            <v>31.35</v>
          </cell>
          <cell r="P341">
            <v>3.9187500000000002</v>
          </cell>
          <cell r="Q341">
            <v>0.2551834130781499</v>
          </cell>
          <cell r="R341">
            <v>7.6631655579023988E-2</v>
          </cell>
        </row>
        <row r="342">
          <cell r="C342" t="str">
            <v>Kiểm và đóng hộp chụp bạc thường 1 ng</v>
          </cell>
          <cell r="D342" t="str">
            <v>106013</v>
          </cell>
          <cell r="E342" t="str">
            <v>1 ng</v>
          </cell>
          <cell r="F342" t="str">
            <v>Kiểm và đóng hộp chụp bạc thường</v>
          </cell>
          <cell r="G342" t="str">
            <v>Kiểm, đóng hộp chụp bạc</v>
          </cell>
          <cell r="H342">
            <v>15400708004</v>
          </cell>
          <cell r="I342" t="str">
            <v>1000 tờ</v>
          </cell>
          <cell r="M342" t="str">
            <v>Tổ KCS</v>
          </cell>
          <cell r="N342">
            <v>1</v>
          </cell>
          <cell r="O342">
            <v>302.5</v>
          </cell>
          <cell r="P342">
            <v>37.8125</v>
          </cell>
          <cell r="Q342">
            <v>2.6446280991735537E-2</v>
          </cell>
          <cell r="R342">
            <v>7.9418261236443057E-3</v>
          </cell>
        </row>
        <row r="343">
          <cell r="C343" t="str">
            <v>Kiểm hộp TRB- Hải Phòng 1 ng</v>
          </cell>
          <cell r="D343" t="str">
            <v>106014</v>
          </cell>
          <cell r="E343" t="str">
            <v>1 ng</v>
          </cell>
          <cell r="F343" t="str">
            <v>Kiểm hộp TRB- Hải Phòng</v>
          </cell>
          <cell r="G343" t="str">
            <v>Kiểm hộp trưng bày, hộp nước 350ml</v>
          </cell>
          <cell r="H343">
            <v>15400708005</v>
          </cell>
          <cell r="I343" t="str">
            <v>1000 tờ</v>
          </cell>
          <cell r="M343" t="str">
            <v>Tổ KCS</v>
          </cell>
          <cell r="N343">
            <v>1</v>
          </cell>
          <cell r="O343">
            <v>24.200000000000003</v>
          </cell>
          <cell r="P343">
            <v>3.0250000000000004</v>
          </cell>
          <cell r="Q343">
            <v>0.33057851239669417</v>
          </cell>
          <cell r="R343">
            <v>9.9272826545553805E-2</v>
          </cell>
        </row>
        <row r="344">
          <cell r="C344" t="str">
            <v>Kiểm hộp TRB- HN xanh vàng  1 ng</v>
          </cell>
          <cell r="D344" t="str">
            <v>106015</v>
          </cell>
          <cell r="E344" t="str">
            <v>1 ng</v>
          </cell>
          <cell r="F344" t="str">
            <v xml:space="preserve">Kiểm hộp TRB- HN xanh vàng </v>
          </cell>
          <cell r="G344" t="str">
            <v>Kiểm hộp trưng bày, hộp nước 350ml</v>
          </cell>
          <cell r="H344">
            <v>15400708005</v>
          </cell>
          <cell r="I344" t="str">
            <v>1000 tờ</v>
          </cell>
          <cell r="M344" t="str">
            <v>Tổ KCS</v>
          </cell>
          <cell r="N344">
            <v>1</v>
          </cell>
          <cell r="O344">
            <v>24.200000000000003</v>
          </cell>
          <cell r="P344">
            <v>3.0250000000000004</v>
          </cell>
          <cell r="Q344">
            <v>0.33057851239669417</v>
          </cell>
          <cell r="R344">
            <v>9.9272826545553805E-2</v>
          </cell>
        </row>
        <row r="345">
          <cell r="C345" t="str">
            <v>Kiểm hộp TRB- HN xanh  1 ng</v>
          </cell>
          <cell r="D345" t="str">
            <v>106016</v>
          </cell>
          <cell r="E345" t="str">
            <v>1 ng</v>
          </cell>
          <cell r="F345" t="str">
            <v xml:space="preserve">Kiểm hộp TRB- HN xanh </v>
          </cell>
          <cell r="G345" t="str">
            <v>Kiểm hộp trưng bày, hộp nước 350ml</v>
          </cell>
          <cell r="H345">
            <v>15400708005</v>
          </cell>
          <cell r="I345" t="str">
            <v>1000 tờ</v>
          </cell>
          <cell r="M345" t="str">
            <v>Tổ KCS</v>
          </cell>
          <cell r="N345">
            <v>1</v>
          </cell>
          <cell r="O345">
            <v>24.200000000000003</v>
          </cell>
          <cell r="P345">
            <v>3.0250000000000004</v>
          </cell>
          <cell r="Q345">
            <v>0.33057851239669417</v>
          </cell>
          <cell r="R345">
            <v>9.9272826545553805E-2</v>
          </cell>
        </row>
        <row r="346">
          <cell r="C346" t="str">
            <v>Kiểm hộp TRB- HN  1 ng</v>
          </cell>
          <cell r="D346" t="str">
            <v>106017</v>
          </cell>
          <cell r="E346" t="str">
            <v>1 ng</v>
          </cell>
          <cell r="F346" t="str">
            <v xml:space="preserve">Kiểm hộp TRB- HN </v>
          </cell>
          <cell r="G346" t="str">
            <v>Kiểm hộp trưng bày, hộp nước 350ml</v>
          </cell>
          <cell r="H346">
            <v>15400708005</v>
          </cell>
          <cell r="I346" t="str">
            <v>1000 tờ</v>
          </cell>
          <cell r="M346" t="str">
            <v>Tổ KCS</v>
          </cell>
          <cell r="N346">
            <v>1</v>
          </cell>
          <cell r="O346">
            <v>24.200000000000003</v>
          </cell>
          <cell r="P346">
            <v>3.0250000000000004</v>
          </cell>
          <cell r="Q346">
            <v>0.33057851239669417</v>
          </cell>
          <cell r="R346">
            <v>9.9272826545553805E-2</v>
          </cell>
        </row>
        <row r="347">
          <cell r="C347" t="str">
            <v>Bó nhãn lưng bia 1890 1 ng</v>
          </cell>
          <cell r="D347" t="str">
            <v>106018</v>
          </cell>
          <cell r="E347" t="str">
            <v>1 ng</v>
          </cell>
          <cell r="F347" t="str">
            <v>Bó nhãn lưng bia 1890</v>
          </cell>
          <cell r="G347" t="str">
            <v>Bó nhãn lưng 450, 330, 1890</v>
          </cell>
          <cell r="H347">
            <v>15400708008</v>
          </cell>
          <cell r="I347" t="str">
            <v>Tr nhãn</v>
          </cell>
          <cell r="M347" t="str">
            <v>Tổ KCS</v>
          </cell>
          <cell r="N347">
            <v>1</v>
          </cell>
          <cell r="O347">
            <v>0.29700000000000004</v>
          </cell>
          <cell r="P347">
            <v>3.7125000000000005E-2</v>
          </cell>
          <cell r="Q347">
            <v>26.936026936026931</v>
          </cell>
          <cell r="R347">
            <v>8.0888969777858648</v>
          </cell>
        </row>
        <row r="348">
          <cell r="C348" t="str">
            <v>Bó nhãn lưng bia HN 450 1 ng</v>
          </cell>
          <cell r="D348" t="str">
            <v>106019</v>
          </cell>
          <cell r="E348" t="str">
            <v>1 ng</v>
          </cell>
          <cell r="F348" t="str">
            <v>Bó nhãn lưng bia HN 450</v>
          </cell>
          <cell r="G348" t="str">
            <v>Bó nhãn lưng 450, 330, 1890</v>
          </cell>
          <cell r="H348">
            <v>15400708008</v>
          </cell>
          <cell r="I348" t="str">
            <v>Tr nhãn</v>
          </cell>
          <cell r="M348" t="str">
            <v>Tổ KCS</v>
          </cell>
          <cell r="N348">
            <v>1</v>
          </cell>
          <cell r="O348">
            <v>0.29700000000000004</v>
          </cell>
          <cell r="P348">
            <v>3.7125000000000005E-2</v>
          </cell>
          <cell r="Q348">
            <v>26.936026936026931</v>
          </cell>
          <cell r="R348">
            <v>8.0888969777858648</v>
          </cell>
        </row>
        <row r="349">
          <cell r="C349" t="str">
            <v>Bó nhãn lưng bia HN 330 1 ng</v>
          </cell>
          <cell r="D349" t="str">
            <v>106020</v>
          </cell>
          <cell r="E349" t="str">
            <v>1 ng</v>
          </cell>
          <cell r="F349" t="str">
            <v>Bó nhãn lưng bia HN 330</v>
          </cell>
          <cell r="G349" t="str">
            <v>Bó nhãn lưng 450, 330, 1890</v>
          </cell>
          <cell r="H349">
            <v>15400708008</v>
          </cell>
          <cell r="I349" t="str">
            <v>Tr nhãn</v>
          </cell>
          <cell r="M349" t="str">
            <v>Tổ KCS</v>
          </cell>
          <cell r="N349">
            <v>1</v>
          </cell>
          <cell r="O349">
            <v>0.29700000000000004</v>
          </cell>
          <cell r="P349">
            <v>3.7125000000000005E-2</v>
          </cell>
          <cell r="Q349">
            <v>26.936026936026931</v>
          </cell>
          <cell r="R349">
            <v>8.0888969777858648</v>
          </cell>
        </row>
        <row r="350">
          <cell r="C350" t="str">
            <v>Bó nhãn thân bia 1890 1 ng</v>
          </cell>
          <cell r="D350" t="str">
            <v>106021</v>
          </cell>
          <cell r="E350" t="str">
            <v>1 ng</v>
          </cell>
          <cell r="F350" t="str">
            <v>Bó nhãn thân bia 1890</v>
          </cell>
          <cell r="G350" t="str">
            <v>Bó nhãn thân 450, 330, 1890</v>
          </cell>
          <cell r="H350">
            <v>15400708009</v>
          </cell>
          <cell r="I350" t="str">
            <v>Tr nhãn</v>
          </cell>
          <cell r="M350" t="str">
            <v>Tổ KCS</v>
          </cell>
          <cell r="N350">
            <v>1</v>
          </cell>
          <cell r="O350">
            <v>0.19800000000000001</v>
          </cell>
          <cell r="P350">
            <v>2.4750000000000001E-2</v>
          </cell>
          <cell r="Q350">
            <v>40.404040404040401</v>
          </cell>
          <cell r="R350">
            <v>12.133345466678799</v>
          </cell>
        </row>
        <row r="351">
          <cell r="C351" t="str">
            <v>Bó nhãn thân bia HN 450 1 ng</v>
          </cell>
          <cell r="D351" t="str">
            <v>106022</v>
          </cell>
          <cell r="E351" t="str">
            <v>1 ng</v>
          </cell>
          <cell r="F351" t="str">
            <v>Bó nhãn thân bia HN 450</v>
          </cell>
          <cell r="G351" t="str">
            <v>Bó nhãn thân 450, 330, 1890</v>
          </cell>
          <cell r="H351">
            <v>15400708009</v>
          </cell>
          <cell r="I351" t="str">
            <v>Tr nhãn</v>
          </cell>
          <cell r="M351" t="str">
            <v>Tổ KCS</v>
          </cell>
          <cell r="N351">
            <v>1</v>
          </cell>
          <cell r="O351">
            <v>0.19800000000000001</v>
          </cell>
          <cell r="P351">
            <v>2.4750000000000001E-2</v>
          </cell>
          <cell r="Q351">
            <v>40.404040404040401</v>
          </cell>
          <cell r="R351">
            <v>12.133345466678799</v>
          </cell>
        </row>
        <row r="352">
          <cell r="C352" t="str">
            <v>Bó nhãn thân bia HN 330 1 ng</v>
          </cell>
          <cell r="D352" t="str">
            <v>106023</v>
          </cell>
          <cell r="E352" t="str">
            <v>1 ng</v>
          </cell>
          <cell r="F352" t="str">
            <v>Bó nhãn thân bia HN 330</v>
          </cell>
          <cell r="G352" t="str">
            <v>Bó nhãn thân 450, 330, 1890</v>
          </cell>
          <cell r="H352">
            <v>15400708009</v>
          </cell>
          <cell r="I352" t="str">
            <v>Tr nhãn</v>
          </cell>
          <cell r="M352" t="str">
            <v>Tổ KCS</v>
          </cell>
          <cell r="N352">
            <v>1</v>
          </cell>
          <cell r="O352">
            <v>0.19800000000000001</v>
          </cell>
          <cell r="P352">
            <v>2.4750000000000001E-2</v>
          </cell>
          <cell r="Q352">
            <v>40.404040404040401</v>
          </cell>
          <cell r="R352">
            <v>12.133345466678799</v>
          </cell>
        </row>
        <row r="353">
          <cell r="C353" t="str">
            <v>Dán hộp nước Uniaqua 350ml  1 ng</v>
          </cell>
          <cell r="D353" t="str">
            <v>106024</v>
          </cell>
          <cell r="E353" t="str">
            <v>1 ng</v>
          </cell>
          <cell r="F353" t="str">
            <v xml:space="preserve">Dán hộp nước Uniaqua 350ml </v>
          </cell>
          <cell r="G353" t="str">
            <v>Dán hộp bia, nước</v>
          </cell>
          <cell r="H353">
            <v>15400708010</v>
          </cell>
          <cell r="I353" t="str">
            <v>1000 Hộp</v>
          </cell>
          <cell r="M353" t="str">
            <v>Tổ KCS</v>
          </cell>
          <cell r="N353">
            <v>1</v>
          </cell>
          <cell r="O353">
            <v>1.1550000000000002</v>
          </cell>
          <cell r="P353">
            <v>0.14437500000000003</v>
          </cell>
          <cell r="Q353">
            <v>6.9264069264069246</v>
          </cell>
          <cell r="R353">
            <v>2.0800020800020795</v>
          </cell>
        </row>
        <row r="354">
          <cell r="C354" t="str">
            <v>Dán hộp nước Uniaqua 500ml có tem, không tem 1 ng</v>
          </cell>
          <cell r="D354" t="str">
            <v>106025</v>
          </cell>
          <cell r="E354" t="str">
            <v>1 ng</v>
          </cell>
          <cell r="F354" t="str">
            <v>Dán hộp nước Uniaqua 500ml có tem, không tem</v>
          </cell>
          <cell r="G354" t="str">
            <v>Dán hộp bia, nước</v>
          </cell>
          <cell r="H354">
            <v>15400708010</v>
          </cell>
          <cell r="I354" t="str">
            <v>1000 Hộp</v>
          </cell>
          <cell r="M354" t="str">
            <v>Tổ KCS</v>
          </cell>
          <cell r="N354">
            <v>1</v>
          </cell>
          <cell r="O354">
            <v>1.1550000000000002</v>
          </cell>
          <cell r="P354">
            <v>0.14437500000000003</v>
          </cell>
          <cell r="Q354">
            <v>6.9264069264069246</v>
          </cell>
          <cell r="R354">
            <v>2.0800020800020795</v>
          </cell>
        </row>
        <row r="355">
          <cell r="C355" t="str">
            <v>Dán hộp TRB- Hải Phòng 1 ng</v>
          </cell>
          <cell r="D355" t="str">
            <v>106026</v>
          </cell>
          <cell r="E355" t="str">
            <v>1 ng</v>
          </cell>
          <cell r="F355" t="str">
            <v>Dán hộp TRB- Hải Phòng</v>
          </cell>
          <cell r="G355" t="str">
            <v xml:space="preserve">Dán Hộp trưng Bày </v>
          </cell>
          <cell r="H355">
            <v>15400708011</v>
          </cell>
          <cell r="I355" t="str">
            <v>1000 Hộp</v>
          </cell>
          <cell r="M355" t="str">
            <v>Tổ KCS</v>
          </cell>
          <cell r="N355">
            <v>1</v>
          </cell>
          <cell r="O355">
            <v>0.43450000000000005</v>
          </cell>
          <cell r="P355">
            <v>5.4312500000000007E-2</v>
          </cell>
          <cell r="Q355">
            <v>18.411967779056383</v>
          </cell>
          <cell r="R355">
            <v>5.5291194531700851</v>
          </cell>
        </row>
        <row r="356">
          <cell r="C356" t="str">
            <v>Dán hộp TRB- HN xanh 1 ng</v>
          </cell>
          <cell r="D356" t="str">
            <v>106027</v>
          </cell>
          <cell r="E356" t="str">
            <v>1 ng</v>
          </cell>
          <cell r="F356" t="str">
            <v>Dán hộp TRB- HN xanh</v>
          </cell>
          <cell r="G356" t="str">
            <v xml:space="preserve">Dán Hộp trưng Bày </v>
          </cell>
          <cell r="H356">
            <v>15400708011</v>
          </cell>
          <cell r="I356" t="str">
            <v>1000 Hộp</v>
          </cell>
          <cell r="M356" t="str">
            <v>Tổ KCS</v>
          </cell>
          <cell r="N356">
            <v>1</v>
          </cell>
          <cell r="O356">
            <v>0.43450000000000005</v>
          </cell>
          <cell r="P356">
            <v>5.4312500000000007E-2</v>
          </cell>
          <cell r="Q356">
            <v>18.411967779056383</v>
          </cell>
          <cell r="R356">
            <v>5.5291194531700851</v>
          </cell>
        </row>
        <row r="357">
          <cell r="C357" t="str">
            <v>Dán hộp TRB- HN HN 1 ng</v>
          </cell>
          <cell r="D357" t="str">
            <v>106028</v>
          </cell>
          <cell r="E357" t="str">
            <v>1 ng</v>
          </cell>
          <cell r="F357" t="str">
            <v>Dán hộp TRB- HN HN</v>
          </cell>
          <cell r="G357" t="str">
            <v xml:space="preserve">Dán Hộp trưng Bày </v>
          </cell>
          <cell r="H357">
            <v>15400708011</v>
          </cell>
          <cell r="I357" t="str">
            <v>1000 Hộp</v>
          </cell>
          <cell r="M357" t="str">
            <v>Tổ KCS</v>
          </cell>
          <cell r="N357">
            <v>1</v>
          </cell>
          <cell r="O357">
            <v>0.43450000000000005</v>
          </cell>
          <cell r="P357">
            <v>5.4312500000000007E-2</v>
          </cell>
          <cell r="Q357">
            <v>18.411967779056383</v>
          </cell>
          <cell r="R357">
            <v>5.5291194531700851</v>
          </cell>
        </row>
        <row r="358">
          <cell r="C358" t="str">
            <v>Dán hộp TRB - HN xanh vàng 1 ng</v>
          </cell>
          <cell r="D358" t="str">
            <v>106029</v>
          </cell>
          <cell r="E358" t="str">
            <v>1 ng</v>
          </cell>
          <cell r="F358" t="str">
            <v>Dán hộp TRB - HN xanh vàng</v>
          </cell>
          <cell r="G358" t="str">
            <v xml:space="preserve">Dán Hộp trưng Bày </v>
          </cell>
          <cell r="H358">
            <v>15400708011</v>
          </cell>
          <cell r="I358" t="str">
            <v>1000 Hộp</v>
          </cell>
          <cell r="M358" t="str">
            <v>Tổ KCS</v>
          </cell>
          <cell r="N358">
            <v>1</v>
          </cell>
          <cell r="O358">
            <v>0.43450000000000005</v>
          </cell>
          <cell r="P358">
            <v>5.4312500000000007E-2</v>
          </cell>
          <cell r="Q358">
            <v>18.411967779056383</v>
          </cell>
          <cell r="R358">
            <v>5.5291194531700851</v>
          </cell>
        </row>
        <row r="359">
          <cell r="C359" t="str">
            <v>Dán tem KM Premium Sleek 1 ng</v>
          </cell>
          <cell r="D359" t="str">
            <v>106030</v>
          </cell>
          <cell r="E359" t="str">
            <v>1 ng</v>
          </cell>
          <cell r="F359" t="str">
            <v>Dán tem KM Premium Sleek</v>
          </cell>
          <cell r="G359" t="str">
            <v>Dán tem hộp khuyến mại</v>
          </cell>
          <cell r="H359">
            <v>15400708012</v>
          </cell>
          <cell r="I359" t="str">
            <v>1000 Hộp</v>
          </cell>
          <cell r="M359" t="str">
            <v>Tổ KCS</v>
          </cell>
          <cell r="N359">
            <v>1</v>
          </cell>
          <cell r="O359">
            <v>5.5</v>
          </cell>
          <cell r="P359">
            <v>0.6875</v>
          </cell>
          <cell r="Q359">
            <v>1.4545454545454546</v>
          </cell>
          <cell r="R359">
            <v>0.43680043680043679</v>
          </cell>
        </row>
        <row r="360">
          <cell r="C360" t="str">
            <v>Dán xách 6 chai 1 ng</v>
          </cell>
          <cell r="D360" t="str">
            <v>106031</v>
          </cell>
          <cell r="E360" t="str">
            <v>1 ng</v>
          </cell>
          <cell r="F360" t="str">
            <v>Dán xách 6 chai</v>
          </cell>
          <cell r="G360" t="str">
            <v>Dán xách các loại</v>
          </cell>
          <cell r="H360">
            <v>15400708013</v>
          </cell>
          <cell r="I360" t="str">
            <v>1000 Cái</v>
          </cell>
          <cell r="M360" t="str">
            <v>Tổ KCS</v>
          </cell>
          <cell r="N360">
            <v>1</v>
          </cell>
          <cell r="O360">
            <v>1.32</v>
          </cell>
          <cell r="P360">
            <v>0.16500000000000001</v>
          </cell>
          <cell r="Q360">
            <v>6.0606060606060606</v>
          </cell>
          <cell r="R360">
            <v>1.82000182000182</v>
          </cell>
        </row>
        <row r="361">
          <cell r="C361" t="str">
            <v>Dán xách Craft 6 chai 1 ng</v>
          </cell>
          <cell r="D361" t="str">
            <v>106032</v>
          </cell>
          <cell r="E361" t="str">
            <v>1 ng</v>
          </cell>
          <cell r="F361" t="str">
            <v>Dán xách Craft 6 chai</v>
          </cell>
          <cell r="G361" t="str">
            <v>Dán xách Craft 6 chai</v>
          </cell>
          <cell r="H361">
            <v>15400708016</v>
          </cell>
          <cell r="I361" t="str">
            <v>1000 Cái</v>
          </cell>
          <cell r="M361" t="str">
            <v>Tổ KCS</v>
          </cell>
          <cell r="N361">
            <v>1</v>
          </cell>
          <cell r="O361">
            <v>8.8000000000000009E-2</v>
          </cell>
          <cell r="P361">
            <v>1.1000000000000001E-2</v>
          </cell>
          <cell r="Q361">
            <v>90.909090909090907</v>
          </cell>
          <cell r="R361">
            <v>27.300027300027299</v>
          </cell>
        </row>
        <row r="362">
          <cell r="C362" t="str">
            <v>Đục Bó xách 330 6 lon 1 ng</v>
          </cell>
          <cell r="D362" t="str">
            <v>106033</v>
          </cell>
          <cell r="E362" t="str">
            <v>1 ng</v>
          </cell>
          <cell r="F362" t="str">
            <v>Đục Bó xách 330 6 lon</v>
          </cell>
          <cell r="G362" t="str">
            <v>Đục Bó xách 330 6 lon</v>
          </cell>
          <cell r="H362">
            <v>15400708019</v>
          </cell>
          <cell r="I362" t="str">
            <v>1000 Cái</v>
          </cell>
          <cell r="M362" t="str">
            <v>Tổ KCS</v>
          </cell>
          <cell r="N362">
            <v>1</v>
          </cell>
          <cell r="O362">
            <v>5.5</v>
          </cell>
          <cell r="P362">
            <v>0.6875</v>
          </cell>
          <cell r="Q362">
            <v>1.4545454545454546</v>
          </cell>
          <cell r="R362">
            <v>0.43680043680043679</v>
          </cell>
        </row>
        <row r="363">
          <cell r="C363" t="str">
            <v>Đục Xách 500ml 12 lon 1 ng</v>
          </cell>
          <cell r="D363" t="str">
            <v>106034</v>
          </cell>
          <cell r="E363" t="str">
            <v>1 ng</v>
          </cell>
          <cell r="F363" t="str">
            <v>Đục Xách 500ml 12 lon</v>
          </cell>
          <cell r="G363" t="str">
            <v>Đục Xách 500ml 12 lon</v>
          </cell>
          <cell r="H363">
            <v>15400708020</v>
          </cell>
          <cell r="I363" t="str">
            <v>1000 Cái</v>
          </cell>
          <cell r="M363" t="str">
            <v>Tổ KCS</v>
          </cell>
          <cell r="N363">
            <v>1</v>
          </cell>
          <cell r="O363">
            <v>3.08</v>
          </cell>
          <cell r="P363">
            <v>0.38500000000000001</v>
          </cell>
          <cell r="Q363">
            <v>2.5974025974025974</v>
          </cell>
          <cell r="R363">
            <v>0.78000078000077999</v>
          </cell>
        </row>
        <row r="364">
          <cell r="C364" t="str">
            <v>Đục Xách 6 chai Craft 1 ng</v>
          </cell>
          <cell r="D364" t="str">
            <v>106035</v>
          </cell>
          <cell r="E364" t="str">
            <v>1 ng</v>
          </cell>
          <cell r="F364" t="str">
            <v>Đục Xách 6 chai Craft</v>
          </cell>
          <cell r="G364" t="str">
            <v>Đục Xách 6 chai Craft</v>
          </cell>
          <cell r="H364">
            <v>15400708021</v>
          </cell>
          <cell r="I364" t="str">
            <v>1000 Cái</v>
          </cell>
          <cell r="M364" t="str">
            <v>Tổ KCS</v>
          </cell>
          <cell r="N364">
            <v>1</v>
          </cell>
          <cell r="O364">
            <v>3.5200000000000005</v>
          </cell>
          <cell r="P364">
            <v>0.44000000000000006</v>
          </cell>
          <cell r="Q364">
            <v>2.2727272727272725</v>
          </cell>
          <cell r="R364">
            <v>0.68250068250068241</v>
          </cell>
        </row>
        <row r="365">
          <cell r="C365" t="str">
            <v>Lồng quai xách  Trúc Bạch 1 ng</v>
          </cell>
          <cell r="D365" t="str">
            <v>106036</v>
          </cell>
          <cell r="E365" t="str">
            <v>1 ng</v>
          </cell>
          <cell r="F365" t="str">
            <v>Lồng quai xách  Trúc Bạch</v>
          </cell>
          <cell r="G365" t="str">
            <v>Lồng Quai Xách</v>
          </cell>
          <cell r="H365">
            <v>15400708017</v>
          </cell>
          <cell r="I365" t="str">
            <v>1000 Cái</v>
          </cell>
          <cell r="M365" t="str">
            <v>Tổ KCS</v>
          </cell>
          <cell r="N365">
            <v>1</v>
          </cell>
          <cell r="O365">
            <v>1.1000000000000001</v>
          </cell>
          <cell r="P365">
            <v>0.13750000000000001</v>
          </cell>
          <cell r="Q365">
            <v>7.2727272727272725</v>
          </cell>
          <cell r="R365">
            <v>2.1840021840021837</v>
          </cell>
        </row>
        <row r="366">
          <cell r="C366" t="str">
            <v>Đục lỗ,bóc, bó tấm đậy Trúc Bạch 1 ng</v>
          </cell>
          <cell r="D366" t="str">
            <v>106037</v>
          </cell>
          <cell r="E366" t="str">
            <v>1 ng</v>
          </cell>
          <cell r="F366" t="str">
            <v>Đục lỗ,bóc, bó tấm đậy Trúc Bạch</v>
          </cell>
          <cell r="G366" t="str">
            <v>Kiểm Đục bó Tấm đậy các loại</v>
          </cell>
          <cell r="H366">
            <v>15400708018</v>
          </cell>
          <cell r="I366" t="str">
            <v>1000 Tấm</v>
          </cell>
          <cell r="M366" t="str">
            <v>Tổ KCS</v>
          </cell>
          <cell r="N366">
            <v>1</v>
          </cell>
          <cell r="O366">
            <v>6.0500000000000007</v>
          </cell>
          <cell r="P366">
            <v>0.75625000000000009</v>
          </cell>
          <cell r="Q366">
            <v>1.3223140495867767</v>
          </cell>
          <cell r="R366">
            <v>0.39709130618221522</v>
          </cell>
        </row>
        <row r="367">
          <cell r="C367" t="str">
            <v>Đục lỗ, đếm bó hộp khóa 704451 1 ng</v>
          </cell>
          <cell r="D367" t="str">
            <v>106038</v>
          </cell>
          <cell r="E367" t="str">
            <v>1 ng</v>
          </cell>
          <cell r="F367" t="str">
            <v>Đục lỗ, đếm bó hộp khóa 704451</v>
          </cell>
          <cell r="G367" t="str">
            <v>Đục lỗ hộp khóa 3 nút lề</v>
          </cell>
          <cell r="H367">
            <v>15400708022</v>
          </cell>
          <cell r="I367" t="str">
            <v>1000 Cái</v>
          </cell>
          <cell r="M367" t="str">
            <v>Tổ KCS</v>
          </cell>
          <cell r="N367">
            <v>1</v>
          </cell>
          <cell r="O367">
            <v>3.3000000000000003</v>
          </cell>
          <cell r="P367">
            <v>0.41250000000000003</v>
          </cell>
          <cell r="Q367">
            <v>2.4242424242424239</v>
          </cell>
          <cell r="R367">
            <v>0.7280007280007279</v>
          </cell>
        </row>
        <row r="368">
          <cell r="C368" t="str">
            <v>Đục lỗ, đếm bó hộp khóa EX7044AP 1 ng</v>
          </cell>
          <cell r="D368" t="str">
            <v>106039</v>
          </cell>
          <cell r="E368" t="str">
            <v>1 ng</v>
          </cell>
          <cell r="F368" t="str">
            <v>Đục lỗ, đếm bó hộp khóa EX7044AP</v>
          </cell>
          <cell r="G368" t="str">
            <v>Đục lỗ hộp khóa 3 nút lề</v>
          </cell>
          <cell r="H368">
            <v>15400708022</v>
          </cell>
          <cell r="I368" t="str">
            <v>1000 Cái</v>
          </cell>
          <cell r="M368" t="str">
            <v>Tổ KCS</v>
          </cell>
          <cell r="N368">
            <v>1</v>
          </cell>
          <cell r="O368">
            <v>3.3000000000000003</v>
          </cell>
          <cell r="P368">
            <v>0.41250000000000003</v>
          </cell>
          <cell r="Q368">
            <v>2.4242424242424239</v>
          </cell>
          <cell r="R368">
            <v>0.7280007280007279</v>
          </cell>
        </row>
        <row r="369">
          <cell r="C369" t="str">
            <v>Đục lỗ, đếm bó hộp khóa TNAP 8082 1 ng</v>
          </cell>
          <cell r="D369" t="str">
            <v>106040</v>
          </cell>
          <cell r="E369" t="str">
            <v>1 ng</v>
          </cell>
          <cell r="F369" t="str">
            <v>Đục lỗ, đếm bó hộp khóa TNAP 8082</v>
          </cell>
          <cell r="G369" t="str">
            <v>Đục lỗ hộp khóa 2 nút lề</v>
          </cell>
          <cell r="H369">
            <v>15400708023</v>
          </cell>
          <cell r="I369" t="str">
            <v>1000 Cái</v>
          </cell>
          <cell r="M369" t="str">
            <v>Tổ KCS</v>
          </cell>
          <cell r="N369">
            <v>1</v>
          </cell>
          <cell r="O369">
            <v>3.8500000000000005</v>
          </cell>
          <cell r="P369">
            <v>0.48125000000000007</v>
          </cell>
          <cell r="Q369">
            <v>2.0779220779220777</v>
          </cell>
          <cell r="R369">
            <v>0.62400062400062395</v>
          </cell>
        </row>
        <row r="370">
          <cell r="C370" t="str">
            <v>In lưới Hộp đựng nhãn (in 2 mặt dán thành hộp) 1 ng</v>
          </cell>
          <cell r="D370" t="str">
            <v>106041</v>
          </cell>
          <cell r="E370" t="str">
            <v>1 ng</v>
          </cell>
          <cell r="F370" t="str">
            <v>In lưới Hộp đựng nhãn (in 2 mặt dán thành hộp)</v>
          </cell>
          <cell r="G370" t="str">
            <v>In lưới Hộp đựng nhãn (in 2 mặt dán thành hộp)</v>
          </cell>
          <cell r="H370">
            <v>15400708024</v>
          </cell>
          <cell r="I370" t="str">
            <v>1000 Cái</v>
          </cell>
          <cell r="M370" t="str">
            <v>Tổ KCS</v>
          </cell>
          <cell r="N370">
            <v>1</v>
          </cell>
          <cell r="O370">
            <v>0.44000000000000006</v>
          </cell>
          <cell r="P370">
            <v>5.5000000000000007E-2</v>
          </cell>
          <cell r="Q370">
            <v>18.18181818181818</v>
          </cell>
          <cell r="R370">
            <v>5.4600054600054593</v>
          </cell>
        </row>
        <row r="371">
          <cell r="C371" t="str">
            <v>Bó nhãn cổ Premium 330ml 1 ng</v>
          </cell>
          <cell r="D371" t="str">
            <v>106042</v>
          </cell>
          <cell r="E371" t="str">
            <v>1 ng</v>
          </cell>
          <cell r="F371" t="str">
            <v>Bó nhãn cổ Premium 330ml</v>
          </cell>
          <cell r="G371" t="str">
            <v>Bó nhãn cổ</v>
          </cell>
          <cell r="H371" t="str">
            <v>15400708025</v>
          </cell>
          <cell r="I371" t="str">
            <v>Tr nhãn</v>
          </cell>
          <cell r="M371" t="str">
            <v>Tổ KCS</v>
          </cell>
          <cell r="N371">
            <v>1</v>
          </cell>
          <cell r="O371">
            <v>0.11</v>
          </cell>
          <cell r="P371">
            <v>1.375E-2</v>
          </cell>
          <cell r="Q371">
            <v>72.727272727272734</v>
          </cell>
          <cell r="R371">
            <v>21.840021840021841</v>
          </cell>
        </row>
        <row r="372">
          <cell r="C372" t="str">
            <v>Kiểm hộp bia hơi 500ml 12 lon và 24 lon 1 ng</v>
          </cell>
          <cell r="D372" t="str">
            <v>106043</v>
          </cell>
          <cell r="E372" t="str">
            <v>1 ng</v>
          </cell>
          <cell r="F372" t="str">
            <v>Kiểm hộp bia hơi 500ml 12 lon và 24 lon</v>
          </cell>
          <cell r="G372" t="str">
            <v>Kiểm hộp bia hơi 500ml 12 lon và 24 lon</v>
          </cell>
          <cell r="H372">
            <v>15400708007</v>
          </cell>
          <cell r="I372" t="str">
            <v>1000 tờ</v>
          </cell>
          <cell r="M372" t="str">
            <v>Tổ KCS</v>
          </cell>
          <cell r="N372">
            <v>1</v>
          </cell>
          <cell r="O372">
            <v>26.400000000000002</v>
          </cell>
          <cell r="P372">
            <v>3.3000000000000003</v>
          </cell>
          <cell r="Q372">
            <v>0.30303030303030298</v>
          </cell>
          <cell r="R372">
            <v>9.1000091000090988E-2</v>
          </cell>
        </row>
        <row r="373">
          <cell r="C373" t="str">
            <v xml:space="preserve"> </v>
          </cell>
          <cell r="G373" t="str">
            <v>Kiểm hộp đựng bánh</v>
          </cell>
          <cell r="H373">
            <v>15400708006</v>
          </cell>
          <cell r="I373" t="str">
            <v>1000 tờ</v>
          </cell>
          <cell r="M373" t="str">
            <v>Tổ KCS</v>
          </cell>
          <cell r="N373">
            <v>1</v>
          </cell>
          <cell r="O373">
            <v>19.8</v>
          </cell>
          <cell r="P373">
            <v>2.4750000000000001</v>
          </cell>
          <cell r="Q373">
            <v>0.40404040404040403</v>
          </cell>
          <cell r="R373">
            <v>0.12133345466678799</v>
          </cell>
        </row>
        <row r="374">
          <cell r="C374" t="str">
            <v xml:space="preserve"> </v>
          </cell>
          <cell r="G374" t="str">
            <v>Dán Hộp Bong keo</v>
          </cell>
          <cell r="H374">
            <v>15400708014</v>
          </cell>
          <cell r="I374" t="str">
            <v>1000 Hộp</v>
          </cell>
          <cell r="M374" t="str">
            <v>Tổ KCS</v>
          </cell>
          <cell r="N374">
            <v>1</v>
          </cell>
          <cell r="O374">
            <v>1.2100000000000002</v>
          </cell>
          <cell r="P374">
            <v>0.15125000000000002</v>
          </cell>
          <cell r="Q374">
            <v>6.6115702479338836</v>
          </cell>
          <cell r="R374">
            <v>1.9854565309110761</v>
          </cell>
        </row>
        <row r="375">
          <cell r="C375" t="str">
            <v xml:space="preserve"> </v>
          </cell>
          <cell r="G375" t="str">
            <v>Dán hộp đựng nhãn</v>
          </cell>
          <cell r="H375">
            <v>15400708015</v>
          </cell>
          <cell r="I375" t="str">
            <v>1000 Hộp</v>
          </cell>
          <cell r="M375" t="str">
            <v>Tổ KCS</v>
          </cell>
          <cell r="N375">
            <v>1</v>
          </cell>
          <cell r="O375">
            <v>1.2100000000000002</v>
          </cell>
          <cell r="P375">
            <v>0.15125000000000002</v>
          </cell>
          <cell r="Q375">
            <v>6.6115702479338836</v>
          </cell>
          <cell r="R375">
            <v>1.9854565309110761</v>
          </cell>
        </row>
        <row r="376">
          <cell r="C376" t="str">
            <v>Sản phẩm tính lương thời gian Tổ KCS</v>
          </cell>
          <cell r="D376" t="str">
            <v>SXSP</v>
          </cell>
          <cell r="E376" t="str">
            <v>Tổ KCS</v>
          </cell>
          <cell r="F376" t="str">
            <v>Sản phẩm tính lương thời gian</v>
          </cell>
          <cell r="I376" t="str">
            <v>h</v>
          </cell>
        </row>
        <row r="377">
          <cell r="C377" t="str">
            <v>Công việc khác Tổ KCS</v>
          </cell>
          <cell r="D377" t="str">
            <v>CVK</v>
          </cell>
          <cell r="E377" t="str">
            <v>Tổ KCS</v>
          </cell>
          <cell r="F377" t="str">
            <v>Công việc khác</v>
          </cell>
          <cell r="I377" t="str">
            <v>h</v>
          </cell>
        </row>
        <row r="378">
          <cell r="C378" t="str">
            <v>Chờ việc Tổ KCS</v>
          </cell>
          <cell r="D378" t="str">
            <v>CV</v>
          </cell>
          <cell r="E378" t="str">
            <v>Tổ KCS</v>
          </cell>
          <cell r="F378" t="str">
            <v>Chờ việc</v>
          </cell>
          <cell r="I378" t="str">
            <v>h</v>
          </cell>
        </row>
        <row r="379">
          <cell r="F379" t="str">
            <v>Tổ ép nhựa</v>
          </cell>
        </row>
        <row r="380">
          <cell r="C380" t="str">
            <v>Trộn nhựa két keg Máy 1 ng</v>
          </cell>
          <cell r="D380">
            <v>113001</v>
          </cell>
          <cell r="E380" t="str">
            <v>Máy 1 ng</v>
          </cell>
          <cell r="F380" t="str">
            <v>Trộn nhựa két keg</v>
          </cell>
          <cell r="G380" t="str">
            <v>Trộn nhựa SX</v>
          </cell>
          <cell r="H380">
            <v>15400801001</v>
          </cell>
          <cell r="I380" t="str">
            <v>kg</v>
          </cell>
          <cell r="M380" t="str">
            <v>Tổ ép nhựa</v>
          </cell>
          <cell r="N380">
            <v>1</v>
          </cell>
          <cell r="O380">
            <v>2100</v>
          </cell>
          <cell r="P380">
            <v>262.5</v>
          </cell>
          <cell r="Q380">
            <v>3.8095238095238095E-3</v>
          </cell>
          <cell r="R380">
            <v>1.1440011440011439E-3</v>
          </cell>
        </row>
        <row r="381">
          <cell r="C381" t="str">
            <v>Trộn nhựa nắp keg Máy 1 ng</v>
          </cell>
          <cell r="D381" t="str">
            <v>113002</v>
          </cell>
          <cell r="E381" t="str">
            <v>Máy 1 ng</v>
          </cell>
          <cell r="F381" t="str">
            <v>Trộn nhựa nắp keg</v>
          </cell>
          <cell r="G381" t="str">
            <v>Trộn nhựa SX</v>
          </cell>
          <cell r="H381">
            <v>15400801001</v>
          </cell>
          <cell r="I381" t="str">
            <v>kg</v>
          </cell>
          <cell r="M381" t="str">
            <v>Tổ ép nhựa</v>
          </cell>
          <cell r="N381">
            <v>1</v>
          </cell>
          <cell r="O381">
            <v>2100</v>
          </cell>
          <cell r="P381">
            <v>262.5</v>
          </cell>
          <cell r="Q381">
            <v>3.8095238095238095E-3</v>
          </cell>
          <cell r="R381">
            <v>1.1440011440011439E-3</v>
          </cell>
        </row>
        <row r="382">
          <cell r="C382" t="str">
            <v>Trộn nhựa két xanh  Máy 1 ng</v>
          </cell>
          <cell r="D382" t="str">
            <v>113003</v>
          </cell>
          <cell r="E382" t="str">
            <v>Máy 1 ng</v>
          </cell>
          <cell r="F382" t="str">
            <v xml:space="preserve">Trộn nhựa két xanh </v>
          </cell>
          <cell r="G382" t="str">
            <v>Trộn nhựa SX</v>
          </cell>
          <cell r="H382">
            <v>15400801001</v>
          </cell>
          <cell r="I382" t="str">
            <v>kg</v>
          </cell>
          <cell r="M382" t="str">
            <v>Tổ ép nhựa</v>
          </cell>
          <cell r="N382">
            <v>1</v>
          </cell>
          <cell r="O382">
            <v>2100</v>
          </cell>
          <cell r="P382">
            <v>262.5</v>
          </cell>
          <cell r="Q382">
            <v>3.8095238095238095E-3</v>
          </cell>
          <cell r="R382">
            <v>1.1440011440011439E-3</v>
          </cell>
        </row>
        <row r="383">
          <cell r="C383" t="str">
            <v>Trộn nhựa két bold Máy 1 ng</v>
          </cell>
          <cell r="D383" t="str">
            <v>113004</v>
          </cell>
          <cell r="E383" t="str">
            <v>Máy 1 ng</v>
          </cell>
          <cell r="F383" t="str">
            <v>Trộn nhựa két bold</v>
          </cell>
          <cell r="G383" t="str">
            <v>Trộn nhựa SX</v>
          </cell>
          <cell r="H383">
            <v>15400801001</v>
          </cell>
          <cell r="I383" t="str">
            <v>kg</v>
          </cell>
          <cell r="M383" t="str">
            <v>Tổ ép nhựa</v>
          </cell>
          <cell r="N383">
            <v>1</v>
          </cell>
          <cell r="O383">
            <v>2100</v>
          </cell>
          <cell r="P383">
            <v>262.5</v>
          </cell>
          <cell r="Q383">
            <v>3.8095238095238095E-3</v>
          </cell>
          <cell r="R383">
            <v>1.1440011440011439E-3</v>
          </cell>
        </row>
        <row r="384">
          <cell r="C384" t="str">
            <v>Trộn nhựa két Light Máy 1 ng</v>
          </cell>
          <cell r="D384" t="str">
            <v>113005</v>
          </cell>
          <cell r="E384" t="str">
            <v>Máy 1 ng</v>
          </cell>
          <cell r="F384" t="str">
            <v>Trộn nhựa két Light</v>
          </cell>
          <cell r="G384" t="str">
            <v>Trộn nhựa SX</v>
          </cell>
          <cell r="H384">
            <v>15400801001</v>
          </cell>
          <cell r="I384" t="str">
            <v>kg</v>
          </cell>
          <cell r="M384" t="str">
            <v>Tổ ép nhựa</v>
          </cell>
          <cell r="N384">
            <v>1</v>
          </cell>
          <cell r="O384">
            <v>2100</v>
          </cell>
          <cell r="P384">
            <v>262.5</v>
          </cell>
          <cell r="Q384">
            <v>3.8095238095238095E-3</v>
          </cell>
          <cell r="R384">
            <v>1.1440011440011439E-3</v>
          </cell>
        </row>
        <row r="385">
          <cell r="C385" t="str">
            <v>Trộn nhựa két 1890 Máy 1 ng</v>
          </cell>
          <cell r="D385" t="str">
            <v>113006</v>
          </cell>
          <cell r="E385" t="str">
            <v>Máy 1 ng</v>
          </cell>
          <cell r="F385" t="str">
            <v>Trộn nhựa két 1890</v>
          </cell>
          <cell r="G385" t="str">
            <v>Trộn nhựa SX</v>
          </cell>
          <cell r="H385">
            <v>15400801001</v>
          </cell>
          <cell r="I385" t="str">
            <v>kg</v>
          </cell>
          <cell r="M385" t="str">
            <v>Tổ ép nhựa</v>
          </cell>
          <cell r="N385">
            <v>1</v>
          </cell>
          <cell r="O385">
            <v>2100</v>
          </cell>
          <cell r="P385">
            <v>262.5</v>
          </cell>
          <cell r="Q385">
            <v>3.8095238095238095E-3</v>
          </cell>
          <cell r="R385">
            <v>1.1440011440011439E-3</v>
          </cell>
        </row>
        <row r="386">
          <cell r="C386" t="str">
            <v>Trộn màu Máy 1 ng</v>
          </cell>
          <cell r="D386" t="str">
            <v>113007</v>
          </cell>
          <cell r="E386" t="str">
            <v>Máy 1 ng</v>
          </cell>
          <cell r="F386" t="str">
            <v>Trộn màu</v>
          </cell>
          <cell r="G386" t="str">
            <v>Trộn màu</v>
          </cell>
          <cell r="H386">
            <v>15400801002</v>
          </cell>
          <cell r="I386" t="str">
            <v>Kg</v>
          </cell>
          <cell r="M386" t="str">
            <v>Tổ ép nhựa</v>
          </cell>
          <cell r="N386">
            <v>1</v>
          </cell>
          <cell r="O386">
            <v>94.5</v>
          </cell>
          <cell r="P386">
            <v>11.8125</v>
          </cell>
          <cell r="Q386">
            <v>8.4656084656084651E-2</v>
          </cell>
          <cell r="R386">
            <v>2.5422247644469865E-2</v>
          </cell>
        </row>
        <row r="387">
          <cell r="C387" t="str">
            <v>Trộn đều nhựa tạp Máy 1 ng</v>
          </cell>
          <cell r="D387" t="str">
            <v>113008</v>
          </cell>
          <cell r="E387" t="str">
            <v>Máy 1 ng</v>
          </cell>
          <cell r="F387" t="str">
            <v>Trộn đều nhựa tạp</v>
          </cell>
          <cell r="G387" t="str">
            <v>Trộn đều nhựa tạp</v>
          </cell>
          <cell r="H387">
            <v>15400801003</v>
          </cell>
          <cell r="I387" t="str">
            <v>Kg</v>
          </cell>
          <cell r="M387" t="str">
            <v>Tổ ép nhựa</v>
          </cell>
          <cell r="N387">
            <v>1</v>
          </cell>
          <cell r="O387">
            <v>1155</v>
          </cell>
          <cell r="P387">
            <v>144.375</v>
          </cell>
          <cell r="Q387">
            <v>6.9264069264069264E-3</v>
          </cell>
          <cell r="R387">
            <v>2.0800020800020801E-3</v>
          </cell>
        </row>
        <row r="388">
          <cell r="C388" t="str">
            <v>Ép két xanh Máy 1 ng</v>
          </cell>
          <cell r="D388" t="str">
            <v>113009</v>
          </cell>
          <cell r="E388" t="str">
            <v>Máy 1 ng</v>
          </cell>
          <cell r="F388" t="str">
            <v>Ép két xanh</v>
          </cell>
          <cell r="G388" t="str">
            <v>Ép két 450 1 lớp</v>
          </cell>
          <cell r="H388">
            <v>15400801004</v>
          </cell>
          <cell r="I388" t="str">
            <v>két</v>
          </cell>
          <cell r="M388" t="str">
            <v>Tổ ép nhựa</v>
          </cell>
          <cell r="N388">
            <v>1</v>
          </cell>
          <cell r="O388">
            <v>268</v>
          </cell>
          <cell r="P388">
            <v>33.5</v>
          </cell>
          <cell r="Q388">
            <v>2.9850746268656716E-2</v>
          </cell>
          <cell r="R388">
            <v>8.9641880686656805E-3</v>
          </cell>
        </row>
        <row r="389">
          <cell r="C389" t="str">
            <v>Ép két keg 1 lít Máy 1 ng</v>
          </cell>
          <cell r="D389" t="str">
            <v>113010</v>
          </cell>
          <cell r="E389" t="str">
            <v>Máy 1 ng</v>
          </cell>
          <cell r="F389" t="str">
            <v>Ép két keg 1 lít</v>
          </cell>
          <cell r="G389" t="str">
            <v>Ép két 450 1 lớp</v>
          </cell>
          <cell r="H389">
            <v>15400801004</v>
          </cell>
          <cell r="I389" t="str">
            <v>két</v>
          </cell>
          <cell r="M389" t="str">
            <v>Tổ ép nhựa</v>
          </cell>
          <cell r="N389">
            <v>1</v>
          </cell>
          <cell r="O389">
            <v>268</v>
          </cell>
          <cell r="P389">
            <v>33.5</v>
          </cell>
          <cell r="Q389">
            <v>2.9850746268656716E-2</v>
          </cell>
          <cell r="R389">
            <v>8.9641880686656805E-3</v>
          </cell>
        </row>
        <row r="390">
          <cell r="C390" t="str">
            <v>Ép két Bold Máy 1 ng</v>
          </cell>
          <cell r="D390" t="str">
            <v>113011</v>
          </cell>
          <cell r="E390" t="str">
            <v>Máy 1 ng</v>
          </cell>
          <cell r="F390" t="str">
            <v>Ép két Bold</v>
          </cell>
          <cell r="G390" t="str">
            <v>Ép két  2 lớp (đỏ, Ligh, Bold, 1890)</v>
          </cell>
          <cell r="H390">
            <v>15400801005</v>
          </cell>
          <cell r="I390" t="str">
            <v>két</v>
          </cell>
          <cell r="M390" t="str">
            <v>Tổ ép nhựa</v>
          </cell>
          <cell r="N390">
            <v>1</v>
          </cell>
          <cell r="O390">
            <v>273</v>
          </cell>
          <cell r="P390">
            <v>34.125</v>
          </cell>
          <cell r="Q390">
            <v>2.9304029304029304E-2</v>
          </cell>
          <cell r="R390">
            <v>8.8000088000088003E-3</v>
          </cell>
        </row>
        <row r="391">
          <cell r="C391" t="str">
            <v>Ép két Premium Máy 1 ng</v>
          </cell>
          <cell r="D391" t="str">
            <v>113012</v>
          </cell>
          <cell r="E391" t="str">
            <v>Máy 1 ng</v>
          </cell>
          <cell r="F391" t="str">
            <v>Ép két Premium</v>
          </cell>
          <cell r="G391" t="str">
            <v>Ép két  2 lớp (đỏ, Ligh, Bold, 1890)</v>
          </cell>
          <cell r="H391">
            <v>15400801005</v>
          </cell>
          <cell r="I391" t="str">
            <v>két</v>
          </cell>
          <cell r="M391" t="str">
            <v>Tổ ép nhựa</v>
          </cell>
          <cell r="N391">
            <v>1</v>
          </cell>
          <cell r="O391">
            <v>273</v>
          </cell>
          <cell r="P391">
            <v>34.125</v>
          </cell>
          <cell r="Q391">
            <v>2.9304029304029304E-2</v>
          </cell>
          <cell r="R391">
            <v>8.8000088000088003E-3</v>
          </cell>
        </row>
        <row r="392">
          <cell r="C392" t="str">
            <v>Ép két Light Máy 1 ng</v>
          </cell>
          <cell r="D392" t="str">
            <v>113013</v>
          </cell>
          <cell r="E392" t="str">
            <v>Máy 1 ng</v>
          </cell>
          <cell r="F392" t="str">
            <v>Ép két Light</v>
          </cell>
          <cell r="G392" t="str">
            <v>Ép két  2 lớp (đỏ, Ligh, Bold, 1890)</v>
          </cell>
          <cell r="H392">
            <v>15400801005</v>
          </cell>
          <cell r="I392" t="str">
            <v>két</v>
          </cell>
          <cell r="M392" t="str">
            <v>Tổ ép nhựa</v>
          </cell>
          <cell r="N392">
            <v>1</v>
          </cell>
          <cell r="O392">
            <v>273</v>
          </cell>
          <cell r="P392">
            <v>34.125</v>
          </cell>
          <cell r="Q392">
            <v>2.9304029304029304E-2</v>
          </cell>
          <cell r="R392">
            <v>8.8000088000088003E-3</v>
          </cell>
        </row>
        <row r="393">
          <cell r="C393" t="str">
            <v>Ép két 1890 Máy 1 ng</v>
          </cell>
          <cell r="D393" t="str">
            <v>113014</v>
          </cell>
          <cell r="E393" t="str">
            <v>Máy 1 ng</v>
          </cell>
          <cell r="F393" t="str">
            <v>Ép két 1890</v>
          </cell>
          <cell r="G393" t="str">
            <v>Ép két  2 lớp (đỏ, Ligh, Bold, 1890)</v>
          </cell>
          <cell r="H393">
            <v>15400801005</v>
          </cell>
          <cell r="I393" t="str">
            <v>két</v>
          </cell>
          <cell r="M393" t="str">
            <v>Tổ ép nhựa</v>
          </cell>
          <cell r="N393">
            <v>1</v>
          </cell>
          <cell r="O393">
            <v>273</v>
          </cell>
          <cell r="P393">
            <v>34.125</v>
          </cell>
          <cell r="Q393">
            <v>2.9304029304029304E-2</v>
          </cell>
          <cell r="R393">
            <v>8.8000088000088003E-3</v>
          </cell>
        </row>
        <row r="394">
          <cell r="C394" t="str">
            <v>Ép két Trúc Bạch Máy 1 ng</v>
          </cell>
          <cell r="D394" t="str">
            <v>113015</v>
          </cell>
          <cell r="E394" t="str">
            <v>Máy 1 ng</v>
          </cell>
          <cell r="F394" t="str">
            <v>Ép két Trúc Bạch</v>
          </cell>
          <cell r="G394" t="str">
            <v>Ép két  2 lớp (đỏ, Ligh, Bold, 1890)</v>
          </cell>
          <cell r="H394">
            <v>15400801005</v>
          </cell>
          <cell r="I394" t="str">
            <v>két</v>
          </cell>
          <cell r="M394" t="str">
            <v>Tổ ép nhựa</v>
          </cell>
          <cell r="N394">
            <v>1</v>
          </cell>
          <cell r="O394">
            <v>273</v>
          </cell>
          <cell r="P394">
            <v>34.125</v>
          </cell>
          <cell r="Q394">
            <v>2.9304029304029304E-2</v>
          </cell>
          <cell r="R394">
            <v>8.8000088000088003E-3</v>
          </cell>
        </row>
        <row r="395">
          <cell r="C395" t="str">
            <v>Ép nắp keg Máy 1 ng</v>
          </cell>
          <cell r="D395" t="str">
            <v>113016</v>
          </cell>
          <cell r="E395" t="str">
            <v>Máy 1 ng</v>
          </cell>
          <cell r="F395" t="str">
            <v>Ép nắp keg</v>
          </cell>
          <cell r="G395" t="str">
            <v>Ép nắp keg</v>
          </cell>
          <cell r="H395">
            <v>15400801006</v>
          </cell>
          <cell r="I395" t="str">
            <v>Cái</v>
          </cell>
          <cell r="M395" t="str">
            <v>Tổ ép nhựa</v>
          </cell>
          <cell r="N395">
            <v>1</v>
          </cell>
          <cell r="O395">
            <v>4620</v>
          </cell>
          <cell r="P395">
            <v>577.5</v>
          </cell>
          <cell r="Q395">
            <v>1.7316017316017316E-3</v>
          </cell>
          <cell r="R395">
            <v>5.2000052000052003E-4</v>
          </cell>
        </row>
        <row r="396">
          <cell r="C396" t="str">
            <v>In lưới két xanh  Máy 1 ng</v>
          </cell>
          <cell r="D396" t="str">
            <v>113017</v>
          </cell>
          <cell r="E396" t="str">
            <v>Máy 1 ng</v>
          </cell>
          <cell r="F396" t="str">
            <v xml:space="preserve">In lưới két xanh </v>
          </cell>
          <cell r="G396" t="str">
            <v>In lưới két xanh 1 lớp</v>
          </cell>
          <cell r="H396">
            <v>15400801013</v>
          </cell>
          <cell r="I396" t="str">
            <v>Cái</v>
          </cell>
          <cell r="M396" t="str">
            <v>Tổ ép nhựa</v>
          </cell>
          <cell r="N396">
            <v>1</v>
          </cell>
          <cell r="O396">
            <v>368</v>
          </cell>
          <cell r="P396">
            <v>46</v>
          </cell>
          <cell r="Q396">
            <v>2.1739130434782608E-2</v>
          </cell>
          <cell r="R396">
            <v>6.5282673978326149E-3</v>
          </cell>
        </row>
        <row r="397">
          <cell r="C397" t="str">
            <v>In lưới két Premium Máy 1 ng</v>
          </cell>
          <cell r="D397" t="str">
            <v>113018</v>
          </cell>
          <cell r="E397" t="str">
            <v>Máy 1 ng</v>
          </cell>
          <cell r="F397" t="str">
            <v>In lưới két Premium</v>
          </cell>
          <cell r="G397" t="str">
            <v>In lưới két 2 lớp 330ml Premium</v>
          </cell>
          <cell r="H397">
            <v>15400801014</v>
          </cell>
          <cell r="I397" t="str">
            <v>Cái</v>
          </cell>
          <cell r="M397" t="str">
            <v>Tổ ép nhựa</v>
          </cell>
          <cell r="N397">
            <v>1</v>
          </cell>
          <cell r="O397">
            <v>105</v>
          </cell>
          <cell r="P397">
            <v>13.125</v>
          </cell>
          <cell r="Q397">
            <v>7.6190476190476197E-2</v>
          </cell>
          <cell r="R397">
            <v>2.2880022880022881E-2</v>
          </cell>
        </row>
        <row r="398">
          <cell r="C398" t="str">
            <v>In lưới két Bold Máy 1 ng</v>
          </cell>
          <cell r="D398" t="str">
            <v>113019</v>
          </cell>
          <cell r="E398" t="str">
            <v>Máy 1 ng</v>
          </cell>
          <cell r="F398" t="str">
            <v>In lưới két Bold</v>
          </cell>
          <cell r="G398" t="str">
            <v>In lưới két 2 lớp 330ml Bold</v>
          </cell>
          <cell r="H398">
            <v>15400801015</v>
          </cell>
          <cell r="I398" t="str">
            <v>Cái</v>
          </cell>
          <cell r="M398" t="str">
            <v>Tổ ép nhựa</v>
          </cell>
          <cell r="N398">
            <v>1</v>
          </cell>
          <cell r="O398">
            <v>121</v>
          </cell>
          <cell r="P398">
            <v>15.125</v>
          </cell>
          <cell r="Q398">
            <v>6.6115702479338845E-2</v>
          </cell>
          <cell r="R398">
            <v>1.9854565309110762E-2</v>
          </cell>
        </row>
        <row r="399">
          <cell r="C399" t="str">
            <v>In lưới két Light Máy 1 ng</v>
          </cell>
          <cell r="D399" t="str">
            <v>113020</v>
          </cell>
          <cell r="E399" t="str">
            <v>Máy 1 ng</v>
          </cell>
          <cell r="F399" t="str">
            <v>In lưới két Light</v>
          </cell>
          <cell r="G399" t="str">
            <v>In lưới két 2 lớp 330ml Light, 1890</v>
          </cell>
          <cell r="H399">
            <v>15400801016</v>
          </cell>
          <cell r="I399" t="str">
            <v>Cái</v>
          </cell>
          <cell r="M399" t="str">
            <v>Tổ ép nhựa</v>
          </cell>
          <cell r="N399">
            <v>1</v>
          </cell>
          <cell r="O399">
            <v>278</v>
          </cell>
          <cell r="P399">
            <v>34.75</v>
          </cell>
          <cell r="Q399">
            <v>2.8776978417266189E-2</v>
          </cell>
          <cell r="R399">
            <v>8.6417352604402971E-3</v>
          </cell>
        </row>
        <row r="400">
          <cell r="C400" t="str">
            <v>In lưới két 1890 Máy 1 ng</v>
          </cell>
          <cell r="D400" t="str">
            <v>113021</v>
          </cell>
          <cell r="E400" t="str">
            <v>Máy 1 ng</v>
          </cell>
          <cell r="F400" t="str">
            <v>In lưới két 1890</v>
          </cell>
          <cell r="G400" t="str">
            <v>In lưới két 2 lớp 330ml Light, 1890</v>
          </cell>
          <cell r="H400">
            <v>15400801016</v>
          </cell>
          <cell r="I400" t="str">
            <v>Cái</v>
          </cell>
          <cell r="M400" t="str">
            <v>Tổ ép nhựa</v>
          </cell>
          <cell r="N400">
            <v>1</v>
          </cell>
          <cell r="O400">
            <v>278</v>
          </cell>
          <cell r="P400">
            <v>34.75</v>
          </cell>
          <cell r="Q400">
            <v>2.8776978417266189E-2</v>
          </cell>
          <cell r="R400">
            <v>8.6417352604402971E-3</v>
          </cell>
        </row>
        <row r="401">
          <cell r="C401" t="str">
            <v>Băm két 1 lớp Máy 3 ng</v>
          </cell>
          <cell r="D401" t="str">
            <v>113022</v>
          </cell>
          <cell r="E401" t="str">
            <v>Máy 3 ng</v>
          </cell>
          <cell r="F401" t="str">
            <v>Băm két 1 lớp</v>
          </cell>
          <cell r="G401" t="str">
            <v>Băm két 1 lớp</v>
          </cell>
          <cell r="H401">
            <v>15400801018</v>
          </cell>
          <cell r="I401" t="str">
            <v>Kg</v>
          </cell>
          <cell r="M401" t="str">
            <v>Tổ ép nhựa</v>
          </cell>
          <cell r="N401">
            <v>3</v>
          </cell>
          <cell r="O401">
            <v>2048</v>
          </cell>
          <cell r="P401">
            <v>256</v>
          </cell>
          <cell r="Q401">
            <v>1.171875E-2</v>
          </cell>
          <cell r="R401">
            <v>3.5191441441441442E-3</v>
          </cell>
        </row>
        <row r="402">
          <cell r="C402" t="str">
            <v>Băm két 2 lớp Máy 1 ng</v>
          </cell>
          <cell r="D402" t="str">
            <v>113023</v>
          </cell>
          <cell r="E402" t="str">
            <v>Máy 1 ng</v>
          </cell>
          <cell r="F402" t="str">
            <v>Băm két 2 lớp</v>
          </cell>
          <cell r="G402" t="str">
            <v>Băm két 2 lớp</v>
          </cell>
          <cell r="H402">
            <v>15400801019</v>
          </cell>
          <cell r="I402" t="str">
            <v>Kg</v>
          </cell>
          <cell r="M402" t="str">
            <v>Tổ ép nhựa</v>
          </cell>
          <cell r="N402">
            <v>3</v>
          </cell>
          <cell r="O402">
            <v>1680</v>
          </cell>
          <cell r="P402">
            <v>210</v>
          </cell>
          <cell r="Q402">
            <v>1.4285714285714285E-2</v>
          </cell>
          <cell r="R402">
            <v>4.2900042900042897E-3</v>
          </cell>
        </row>
        <row r="403">
          <cell r="C403" t="str">
            <v>Làm lưới in Máy 3 ng</v>
          </cell>
          <cell r="D403" t="str">
            <v>113024</v>
          </cell>
          <cell r="E403" t="str">
            <v>Máy 3 ng</v>
          </cell>
          <cell r="F403" t="str">
            <v>Làm lưới in</v>
          </cell>
          <cell r="G403" t="str">
            <v>Làm lưới in</v>
          </cell>
          <cell r="H403">
            <v>15400801025</v>
          </cell>
          <cell r="I403" t="str">
            <v>Cái</v>
          </cell>
          <cell r="M403" t="str">
            <v>Tổ ép nhựa</v>
          </cell>
          <cell r="N403">
            <v>1</v>
          </cell>
          <cell r="O403">
            <v>8</v>
          </cell>
          <cell r="P403">
            <v>1</v>
          </cell>
          <cell r="Q403">
            <v>1</v>
          </cell>
          <cell r="R403">
            <v>0.3003003003003003</v>
          </cell>
        </row>
        <row r="404">
          <cell r="C404" t="str">
            <v>Ép két đựng keg 1 lít Máy 1 ng</v>
          </cell>
          <cell r="D404" t="str">
            <v>113025</v>
          </cell>
          <cell r="E404" t="str">
            <v>Máy 1 ng</v>
          </cell>
          <cell r="F404" t="str">
            <v>Ép két đựng keg 1 lít</v>
          </cell>
          <cell r="G404" t="str">
            <v>Ép két đựng keg 1 lít</v>
          </cell>
          <cell r="H404">
            <v>15400801026</v>
          </cell>
          <cell r="I404" t="str">
            <v>Cái</v>
          </cell>
          <cell r="M404" t="str">
            <v>Tổ ép nhựa</v>
          </cell>
          <cell r="N404">
            <v>1</v>
          </cell>
          <cell r="O404">
            <v>263</v>
          </cell>
          <cell r="P404">
            <v>32.875</v>
          </cell>
          <cell r="Q404">
            <v>3.0418250950570342E-2</v>
          </cell>
          <cell r="R404">
            <v>9.1346098950661689E-3</v>
          </cell>
        </row>
        <row r="405">
          <cell r="C405" t="str">
            <v>In lưới két đựng keg 1 lít Máy 1 ng</v>
          </cell>
          <cell r="D405" t="str">
            <v>113026</v>
          </cell>
          <cell r="E405" t="str">
            <v>Máy 1 ng</v>
          </cell>
          <cell r="F405" t="str">
            <v>In lưới két đựng keg 1 lít</v>
          </cell>
          <cell r="G405" t="str">
            <v>In lưới két đựng keg 1 lít</v>
          </cell>
          <cell r="H405">
            <v>15400801027</v>
          </cell>
          <cell r="I405" t="str">
            <v>Cái</v>
          </cell>
          <cell r="M405" t="str">
            <v>Tổ ép nhựa</v>
          </cell>
          <cell r="N405">
            <v>1</v>
          </cell>
          <cell r="O405">
            <v>347</v>
          </cell>
          <cell r="P405">
            <v>43.375</v>
          </cell>
          <cell r="Q405">
            <v>2.3054755043227664E-2</v>
          </cell>
          <cell r="R405">
            <v>6.92334986283113E-3</v>
          </cell>
        </row>
        <row r="406">
          <cell r="C406" t="str">
            <v>Chuyển két Máy 1 ng</v>
          </cell>
          <cell r="D406" t="str">
            <v>113027</v>
          </cell>
          <cell r="E406" t="str">
            <v>Máy 1 ng</v>
          </cell>
          <cell r="F406" t="str">
            <v>Chuyển két</v>
          </cell>
          <cell r="G406" t="str">
            <v>Chuyển két</v>
          </cell>
          <cell r="H406">
            <v>15400801022</v>
          </cell>
          <cell r="I406" t="str">
            <v>Két</v>
          </cell>
          <cell r="M406" t="str">
            <v>Tổ ép nhựa</v>
          </cell>
          <cell r="N406">
            <v>1</v>
          </cell>
          <cell r="O406">
            <v>1155</v>
          </cell>
          <cell r="P406">
            <v>144.375</v>
          </cell>
          <cell r="Q406">
            <v>6.9264069264069264E-3</v>
          </cell>
          <cell r="R406">
            <v>2.0800020800020801E-3</v>
          </cell>
        </row>
        <row r="407">
          <cell r="C407" t="str">
            <v>Chồng két Máy 1 ng</v>
          </cell>
          <cell r="D407" t="str">
            <v>113028</v>
          </cell>
          <cell r="E407" t="str">
            <v>Máy 1 ng</v>
          </cell>
          <cell r="F407" t="str">
            <v>Chồng két</v>
          </cell>
          <cell r="G407" t="str">
            <v>Chồng két</v>
          </cell>
          <cell r="H407">
            <v>15400801023</v>
          </cell>
          <cell r="I407" t="str">
            <v>Két</v>
          </cell>
          <cell r="M407" t="str">
            <v>Tổ ép nhựa</v>
          </cell>
          <cell r="N407">
            <v>1</v>
          </cell>
          <cell r="O407">
            <v>1155</v>
          </cell>
          <cell r="P407">
            <v>144.375</v>
          </cell>
          <cell r="Q407">
            <v>6.9264069264069264E-3</v>
          </cell>
          <cell r="R407">
            <v>2.0800020800020801E-3</v>
          </cell>
        </row>
        <row r="408">
          <cell r="G408" t="str">
            <v>In lưới két 450 1 lớp</v>
          </cell>
          <cell r="H408">
            <v>15400801011</v>
          </cell>
          <cell r="I408" t="str">
            <v>Cái</v>
          </cell>
          <cell r="M408" t="str">
            <v>Tổ ép nhựa</v>
          </cell>
          <cell r="N408">
            <v>5</v>
          </cell>
          <cell r="O408">
            <v>2310</v>
          </cell>
          <cell r="P408">
            <v>288.75</v>
          </cell>
          <cell r="Q408">
            <v>1.7316017316017316E-2</v>
          </cell>
          <cell r="R408">
            <v>5.2000052000051996E-3</v>
          </cell>
        </row>
        <row r="409">
          <cell r="G409" t="str">
            <v>In lưới két 330 1 lớp</v>
          </cell>
          <cell r="H409">
            <v>15400801012</v>
          </cell>
          <cell r="I409" t="str">
            <v>Cái</v>
          </cell>
          <cell r="M409" t="str">
            <v>Tổ ép nhựa</v>
          </cell>
          <cell r="N409">
            <v>5</v>
          </cell>
          <cell r="O409">
            <v>1995</v>
          </cell>
          <cell r="P409">
            <v>249.375</v>
          </cell>
          <cell r="Q409">
            <v>2.0050125313283207E-2</v>
          </cell>
          <cell r="R409">
            <v>6.0210586526375995E-3</v>
          </cell>
        </row>
        <row r="410">
          <cell r="G410" t="str">
            <v>Ép đế</v>
          </cell>
          <cell r="H410">
            <v>15400801007</v>
          </cell>
          <cell r="I410" t="str">
            <v>Bộ</v>
          </cell>
          <cell r="M410" t="str">
            <v>Tổ ép nhựa</v>
          </cell>
          <cell r="N410">
            <v>1</v>
          </cell>
          <cell r="O410">
            <v>226</v>
          </cell>
          <cell r="P410">
            <v>28.25</v>
          </cell>
          <cell r="Q410">
            <v>3.5398230088495575E-2</v>
          </cell>
          <cell r="R410">
            <v>1.0630099125674346E-2</v>
          </cell>
        </row>
        <row r="411">
          <cell r="G411" t="str">
            <v>Ép tay xách</v>
          </cell>
          <cell r="H411">
            <v>15400801008</v>
          </cell>
          <cell r="I411" t="str">
            <v>Bộ</v>
          </cell>
          <cell r="M411" t="str">
            <v>Tổ ép nhựa</v>
          </cell>
          <cell r="N411">
            <v>1</v>
          </cell>
          <cell r="O411">
            <v>341</v>
          </cell>
          <cell r="P411">
            <v>42.625</v>
          </cell>
          <cell r="Q411">
            <v>2.3460410557184751E-2</v>
          </cell>
          <cell r="R411">
            <v>7.0451683354909164E-3</v>
          </cell>
        </row>
        <row r="412">
          <cell r="G412" t="str">
            <v>Tán đinh</v>
          </cell>
          <cell r="H412">
            <v>15400801009</v>
          </cell>
          <cell r="I412" t="str">
            <v>Bộ</v>
          </cell>
          <cell r="M412" t="str">
            <v>Tổ ép nhựa</v>
          </cell>
          <cell r="N412">
            <v>1</v>
          </cell>
          <cell r="O412">
            <v>121</v>
          </cell>
          <cell r="P412">
            <v>15.125</v>
          </cell>
          <cell r="Q412">
            <v>6.6115702479338845E-2</v>
          </cell>
          <cell r="R412">
            <v>1.9854565309110762E-2</v>
          </cell>
        </row>
        <row r="413">
          <cell r="G413" t="str">
            <v>Dán logo</v>
          </cell>
          <cell r="H413">
            <v>15400801010</v>
          </cell>
          <cell r="I413" t="str">
            <v>Bộ</v>
          </cell>
          <cell r="M413" t="str">
            <v>Tổ ép nhựa</v>
          </cell>
          <cell r="N413">
            <v>1</v>
          </cell>
          <cell r="O413">
            <v>95</v>
          </cell>
          <cell r="P413">
            <v>11.875</v>
          </cell>
          <cell r="Q413">
            <v>8.4210526315789472E-2</v>
          </cell>
          <cell r="R413">
            <v>2.5288446341077919E-2</v>
          </cell>
        </row>
        <row r="414">
          <cell r="G414" t="str">
            <v>Dưỡng két</v>
          </cell>
          <cell r="H414">
            <v>15400801017</v>
          </cell>
          <cell r="I414" t="str">
            <v>Cái</v>
          </cell>
          <cell r="M414" t="str">
            <v>Tổ ép nhựa</v>
          </cell>
          <cell r="N414">
            <v>1</v>
          </cell>
          <cell r="O414">
            <v>525</v>
          </cell>
          <cell r="P414">
            <v>65.625</v>
          </cell>
          <cell r="Q414">
            <v>1.5238095238095238E-2</v>
          </cell>
          <cell r="R414">
            <v>4.5760045760045755E-3</v>
          </cell>
        </row>
        <row r="415">
          <cell r="G415" t="str">
            <v>Phơi nhựa và đóng bao</v>
          </cell>
          <cell r="H415">
            <v>15400801020</v>
          </cell>
          <cell r="I415" t="str">
            <v>Kg</v>
          </cell>
          <cell r="M415" t="str">
            <v>Tổ ép nhựa</v>
          </cell>
          <cell r="N415">
            <v>3</v>
          </cell>
          <cell r="O415">
            <v>3360</v>
          </cell>
          <cell r="P415">
            <v>420</v>
          </cell>
          <cell r="Q415">
            <v>7.1428571428571426E-3</v>
          </cell>
          <cell r="R415">
            <v>2.1450021450021449E-3</v>
          </cell>
        </row>
        <row r="416">
          <cell r="G416" t="str">
            <v>Rửa nhựa</v>
          </cell>
          <cell r="H416">
            <v>15400801021</v>
          </cell>
          <cell r="I416" t="str">
            <v>kg</v>
          </cell>
          <cell r="M416" t="str">
            <v>Tổ ép nhựa</v>
          </cell>
          <cell r="N416">
            <v>2</v>
          </cell>
          <cell r="O416">
            <v>2205</v>
          </cell>
          <cell r="P416">
            <v>275.625</v>
          </cell>
          <cell r="Q416">
            <v>7.2562358276643995E-3</v>
          </cell>
          <cell r="R416">
            <v>2.1790497980974173E-3</v>
          </cell>
        </row>
        <row r="417">
          <cell r="G417" t="str">
            <v>Tạo hạt</v>
          </cell>
          <cell r="H417">
            <v>15400801024</v>
          </cell>
          <cell r="I417" t="str">
            <v>Kg</v>
          </cell>
          <cell r="M417" t="str">
            <v>Tổ ép nhựa</v>
          </cell>
          <cell r="N417">
            <v>1</v>
          </cell>
          <cell r="O417">
            <v>336</v>
          </cell>
          <cell r="P417">
            <v>42</v>
          </cell>
          <cell r="Q417">
            <v>2.3809523809523808E-2</v>
          </cell>
          <cell r="R417">
            <v>7.1500071500071498E-3</v>
          </cell>
        </row>
        <row r="418">
          <cell r="C418" t="str">
            <v>Sản phẩm tính lương thời gian Máy ép nhựa</v>
          </cell>
          <cell r="D418" t="str">
            <v>SXSP</v>
          </cell>
          <cell r="E418" t="str">
            <v>Máy ép nhựa</v>
          </cell>
          <cell r="F418" t="str">
            <v>Sản phẩm tính lương thời gian</v>
          </cell>
          <cell r="I418" t="str">
            <v>h</v>
          </cell>
        </row>
        <row r="419">
          <cell r="C419" t="str">
            <v>Vệ sinh máy đầu tuần Máy ép nhựa</v>
          </cell>
          <cell r="D419" t="str">
            <v>VSM</v>
          </cell>
          <cell r="E419" t="str">
            <v>Máy ép nhựa</v>
          </cell>
          <cell r="F419" t="str">
            <v>Vệ sinh máy đầu tuần</v>
          </cell>
          <cell r="I419" t="str">
            <v>h</v>
          </cell>
        </row>
        <row r="420">
          <cell r="C420" t="str">
            <v>Sửa máy Máy ép nhựa</v>
          </cell>
          <cell r="D420" t="str">
            <v>SM</v>
          </cell>
          <cell r="E420" t="str">
            <v>Máy ép nhựa</v>
          </cell>
          <cell r="F420" t="str">
            <v>Sửa máy</v>
          </cell>
          <cell r="I420" t="str">
            <v>h</v>
          </cell>
        </row>
        <row r="421">
          <cell r="C421" t="str">
            <v>Bảo dưỡng máy Máy ép nhựa</v>
          </cell>
          <cell r="D421" t="str">
            <v>BDM</v>
          </cell>
          <cell r="E421" t="str">
            <v>Máy ép nhựa</v>
          </cell>
          <cell r="F421" t="str">
            <v>Bảo dưỡng máy</v>
          </cell>
          <cell r="I421" t="str">
            <v>h</v>
          </cell>
        </row>
        <row r="422">
          <cell r="C422" t="str">
            <v>Công việc khác Máy ép nhựa</v>
          </cell>
          <cell r="D422" t="str">
            <v>CVK</v>
          </cell>
          <cell r="E422" t="str">
            <v>Máy ép nhựa</v>
          </cell>
          <cell r="F422" t="str">
            <v>Công việc khác</v>
          </cell>
          <cell r="I422" t="str">
            <v>h</v>
          </cell>
        </row>
        <row r="423">
          <cell r="C423" t="str">
            <v>Chuẩn bị máy theo định mức Máy ép nhựa</v>
          </cell>
          <cell r="D423" t="str">
            <v>TGĐM</v>
          </cell>
          <cell r="E423" t="str">
            <v>Máy ép nhựa</v>
          </cell>
          <cell r="F423" t="str">
            <v>Chuẩn bị máy theo định mức</v>
          </cell>
          <cell r="I423" t="str">
            <v>h</v>
          </cell>
        </row>
        <row r="424">
          <cell r="C424" t="str">
            <v>Chạy mẫu Máy ép nhựa</v>
          </cell>
          <cell r="D424" t="str">
            <v>CMAU</v>
          </cell>
          <cell r="E424" t="str">
            <v>Máy ép nhựa</v>
          </cell>
          <cell r="F424" t="str">
            <v>Chạy mẫu</v>
          </cell>
          <cell r="I424" t="str">
            <v>h</v>
          </cell>
        </row>
        <row r="425">
          <cell r="C425" t="str">
            <v>Chờ việc Máy ép nhựa</v>
          </cell>
          <cell r="D425" t="str">
            <v>CV</v>
          </cell>
          <cell r="E425" t="str">
            <v>Máy ép nhựa</v>
          </cell>
          <cell r="F425" t="str">
            <v>Chờ việc</v>
          </cell>
          <cell r="I425" t="str">
            <v>h</v>
          </cell>
        </row>
        <row r="426">
          <cell r="C426" t="str">
            <v>Sản phẩm tính lương thời gian Máy ép nắp keg</v>
          </cell>
          <cell r="D426" t="str">
            <v>SXSP</v>
          </cell>
          <cell r="E426" t="str">
            <v>Máy ép nắp keg</v>
          </cell>
          <cell r="F426" t="str">
            <v>Sản phẩm tính lương thời gian</v>
          </cell>
          <cell r="I426" t="str">
            <v>h</v>
          </cell>
        </row>
        <row r="427">
          <cell r="C427" t="str">
            <v>Vệ sinh máy đầu tuần Máy ép nắp keg</v>
          </cell>
          <cell r="D427" t="str">
            <v>VSM</v>
          </cell>
          <cell r="E427" t="str">
            <v>Máy ép nắp keg</v>
          </cell>
          <cell r="F427" t="str">
            <v>Vệ sinh máy đầu tuần</v>
          </cell>
          <cell r="I427" t="str">
            <v>h</v>
          </cell>
        </row>
        <row r="428">
          <cell r="C428" t="str">
            <v>Sửa máy Máy ép nắp keg</v>
          </cell>
          <cell r="D428" t="str">
            <v>SM</v>
          </cell>
          <cell r="E428" t="str">
            <v>Máy ép nắp keg</v>
          </cell>
          <cell r="F428" t="str">
            <v>Sửa máy</v>
          </cell>
          <cell r="I428" t="str">
            <v>h</v>
          </cell>
        </row>
        <row r="429">
          <cell r="C429" t="str">
            <v>Bảo dưỡng máy Máy ép nắp keg</v>
          </cell>
          <cell r="D429" t="str">
            <v>BDM</v>
          </cell>
          <cell r="E429" t="str">
            <v>Máy ép nắp keg</v>
          </cell>
          <cell r="F429" t="str">
            <v>Bảo dưỡng máy</v>
          </cell>
          <cell r="I429" t="str">
            <v>h</v>
          </cell>
        </row>
        <row r="430">
          <cell r="C430" t="str">
            <v>Công việc khác Máy ép nắp keg</v>
          </cell>
          <cell r="D430" t="str">
            <v>CVK</v>
          </cell>
          <cell r="E430" t="str">
            <v>Máy ép nắp keg</v>
          </cell>
          <cell r="F430" t="str">
            <v>Công việc khác</v>
          </cell>
          <cell r="I430" t="str">
            <v>h</v>
          </cell>
        </row>
        <row r="431">
          <cell r="C431" t="str">
            <v>Chuẩn bị máy theo định mức Máy ép nắp keg</v>
          </cell>
          <cell r="D431" t="str">
            <v>TGĐM</v>
          </cell>
          <cell r="E431" t="str">
            <v>Máy ép nắp keg</v>
          </cell>
          <cell r="F431" t="str">
            <v>Chuẩn bị máy theo định mức</v>
          </cell>
          <cell r="I431" t="str">
            <v>h</v>
          </cell>
        </row>
        <row r="432">
          <cell r="C432" t="str">
            <v>Chạy mẫu Máy ép nắp keg</v>
          </cell>
          <cell r="D432" t="str">
            <v>CMAU</v>
          </cell>
          <cell r="E432" t="str">
            <v>Máy ép nắp keg</v>
          </cell>
          <cell r="F432" t="str">
            <v>Chạy mẫu</v>
          </cell>
          <cell r="I432" t="str">
            <v>h</v>
          </cell>
        </row>
        <row r="433">
          <cell r="C433" t="str">
            <v>Chờ việc Máy ép nắp keg</v>
          </cell>
          <cell r="D433" t="str">
            <v>CV</v>
          </cell>
          <cell r="E433" t="str">
            <v>Máy ép nắp keg</v>
          </cell>
          <cell r="F433" t="str">
            <v>Chờ việc</v>
          </cell>
          <cell r="I433" t="str">
            <v>h</v>
          </cell>
        </row>
        <row r="439">
          <cell r="G439" t="str">
            <v>Người lập</v>
          </cell>
          <cell r="P439" t="str">
            <v>Phòng Tổ chức - Hành chính</v>
          </cell>
        </row>
        <row r="446">
          <cell r="G446" t="str">
            <v>Nguyễn Lan Hương</v>
          </cell>
          <cell r="P446" t="str">
            <v>Dương Trùng Khánh</v>
          </cell>
        </row>
        <row r="451">
          <cell r="G451" t="str">
            <v>Người lập</v>
          </cell>
          <cell r="I451" t="str">
            <v>Phòng Tổ chức - Hành chính</v>
          </cell>
          <cell r="P451" t="str">
            <v>Giám đốc</v>
          </cell>
        </row>
        <row r="458">
          <cell r="G458" t="str">
            <v>Nguyễn Lan Hương</v>
          </cell>
          <cell r="I458" t="str">
            <v>Dương Trùng Khánh</v>
          </cell>
          <cell r="P458" t="str">
            <v>Lưu Thanh Bình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8"/>
  <sheetViews>
    <sheetView tabSelected="1" zoomScale="85" zoomScaleNormal="85" workbookViewId="0">
      <pane ySplit="4" topLeftCell="A5" activePane="bottomLeft" state="frozen"/>
      <selection pane="bottomLeft" activeCell="G15" sqref="G15"/>
    </sheetView>
  </sheetViews>
  <sheetFormatPr defaultColWidth="9.109375" defaultRowHeight="16.8" x14ac:dyDescent="0.3"/>
  <cols>
    <col min="1" max="1" width="13" style="1" customWidth="1"/>
    <col min="2" max="2" width="12.88671875" style="25" customWidth="1"/>
    <col min="3" max="3" width="12.109375" style="25" customWidth="1"/>
    <col min="4" max="4" width="13.6640625" style="25" customWidth="1"/>
    <col min="5" max="5" width="28.44140625" style="25" customWidth="1"/>
    <col min="6" max="6" width="11.33203125" style="25" customWidth="1"/>
    <col min="7" max="7" width="16.33203125" style="154" customWidth="1"/>
    <col min="8" max="8" width="12" style="25" customWidth="1"/>
    <col min="9" max="9" width="9.6640625" style="25" customWidth="1"/>
    <col min="10" max="10" width="30" style="175" customWidth="1"/>
    <col min="11" max="11" width="16.5546875" style="153" customWidth="1"/>
    <col min="12" max="12" width="13.44140625" style="28" customWidth="1"/>
    <col min="13" max="13" width="15.109375" style="28" customWidth="1"/>
    <col min="14" max="14" width="15.6640625" style="25" customWidth="1"/>
    <col min="15" max="15" width="15.33203125" style="25" customWidth="1"/>
    <col min="16" max="16" width="14.109375" style="25" customWidth="1"/>
    <col min="17" max="17" width="10.88671875" style="26" customWidth="1"/>
    <col min="18" max="18" width="18.33203125" style="25" customWidth="1"/>
    <col min="19" max="19" width="17.33203125" style="27" customWidth="1"/>
    <col min="20" max="20" width="11.6640625" style="28" customWidth="1"/>
    <col min="21" max="21" width="12" style="28" customWidth="1"/>
    <col min="22" max="22" width="11" style="29" customWidth="1"/>
    <col min="23" max="23" width="13.88671875" style="30" bestFit="1" customWidth="1"/>
    <col min="24" max="24" width="13.88671875" style="29" bestFit="1" customWidth="1"/>
    <col min="25" max="31" width="9.109375" style="25"/>
    <col min="32" max="32" width="9.109375" style="17"/>
    <col min="33" max="16384" width="9.109375" style="25"/>
  </cols>
  <sheetData>
    <row r="1" spans="1:32" s="11" customFormat="1" ht="21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6"/>
      <c r="J1" s="7"/>
      <c r="K1" s="8"/>
      <c r="L1" s="9"/>
      <c r="M1" s="9"/>
      <c r="N1" s="10" t="s">
        <v>4</v>
      </c>
      <c r="Q1" s="12"/>
      <c r="S1" s="13"/>
      <c r="T1" s="14"/>
      <c r="U1" s="14"/>
      <c r="V1" s="15"/>
      <c r="W1" s="16"/>
      <c r="X1" s="15"/>
      <c r="AF1" s="17"/>
    </row>
    <row r="2" spans="1:32" ht="17.25" customHeight="1" x14ac:dyDescent="0.3">
      <c r="B2" s="18" t="s">
        <v>5</v>
      </c>
      <c r="C2" s="19"/>
      <c r="D2" s="4"/>
      <c r="E2" s="18" t="s">
        <v>6</v>
      </c>
      <c r="F2" s="20" t="s">
        <v>7</v>
      </c>
      <c r="G2" s="20"/>
      <c r="H2" s="20"/>
      <c r="I2" s="18" t="s">
        <v>8</v>
      </c>
      <c r="J2" s="21" t="s">
        <v>9</v>
      </c>
      <c r="K2" s="22" t="s">
        <v>10</v>
      </c>
      <c r="L2" s="23" t="s">
        <v>11</v>
      </c>
      <c r="M2" s="23"/>
      <c r="N2" s="10"/>
      <c r="O2" s="24" t="s">
        <v>12</v>
      </c>
      <c r="AF2" s="17">
        <f t="shared" ref="AF2:AF65" si="0">+IF(A2&lt;&gt;0,A2,IF(AND(A2="",AE2=1),"",AF1))</f>
        <v>0</v>
      </c>
    </row>
    <row r="3" spans="1:32" ht="35.25" customHeight="1" x14ac:dyDescent="0.3">
      <c r="B3" s="18"/>
      <c r="C3" s="31"/>
      <c r="D3" s="4"/>
      <c r="E3" s="18"/>
      <c r="F3" s="32" t="s">
        <v>13</v>
      </c>
      <c r="G3" s="33" t="s">
        <v>14</v>
      </c>
      <c r="H3" s="32" t="s">
        <v>15</v>
      </c>
      <c r="I3" s="18"/>
      <c r="J3" s="34"/>
      <c r="K3" s="22"/>
      <c r="L3" s="35" t="s">
        <v>16</v>
      </c>
      <c r="M3" s="35" t="s">
        <v>17</v>
      </c>
      <c r="N3" s="10"/>
      <c r="O3" s="24"/>
      <c r="AF3" s="17">
        <f t="shared" si="0"/>
        <v>0</v>
      </c>
    </row>
    <row r="4" spans="1:32" s="42" customFormat="1" ht="25.5" customHeight="1" x14ac:dyDescent="0.3">
      <c r="A4" s="36"/>
      <c r="B4" s="37"/>
      <c r="C4" s="37"/>
      <c r="D4" s="37"/>
      <c r="E4" s="37"/>
      <c r="F4" s="37"/>
      <c r="G4" s="38"/>
      <c r="H4" s="37"/>
      <c r="I4" s="37"/>
      <c r="J4" s="39"/>
      <c r="K4" s="40"/>
      <c r="L4" s="41"/>
      <c r="M4" s="41"/>
      <c r="N4" s="37"/>
      <c r="Q4" s="43"/>
      <c r="S4" s="44"/>
      <c r="T4" s="45"/>
      <c r="U4" s="45"/>
      <c r="V4" s="46"/>
      <c r="W4" s="47"/>
      <c r="X4" s="46"/>
      <c r="AF4" s="17">
        <f t="shared" si="0"/>
        <v>0</v>
      </c>
    </row>
    <row r="5" spans="1:32" s="42" customFormat="1" ht="25.5" customHeight="1" x14ac:dyDescent="0.3">
      <c r="A5" s="48" t="s">
        <v>18</v>
      </c>
      <c r="B5" s="49"/>
      <c r="C5" s="49"/>
      <c r="D5" s="50"/>
      <c r="E5" s="51"/>
      <c r="F5" s="52"/>
      <c r="G5" s="53"/>
      <c r="H5" s="52"/>
      <c r="I5" s="50"/>
      <c r="J5" s="54"/>
      <c r="K5" s="55"/>
      <c r="L5" s="56"/>
      <c r="M5" s="56"/>
      <c r="N5" s="37"/>
      <c r="O5" s="46">
        <v>0.40655414562030306</v>
      </c>
      <c r="P5" s="57"/>
      <c r="Q5" s="26"/>
      <c r="R5" s="58"/>
      <c r="S5" s="27"/>
      <c r="T5" s="28"/>
      <c r="U5" s="45"/>
      <c r="V5" s="46"/>
      <c r="W5" s="47"/>
      <c r="X5" s="46"/>
      <c r="AF5" s="17" t="str">
        <f t="shared" si="0"/>
        <v>…</v>
      </c>
    </row>
    <row r="6" spans="1:32" s="58" customFormat="1" ht="25.5" customHeight="1" x14ac:dyDescent="0.3">
      <c r="A6" s="59">
        <v>46204</v>
      </c>
      <c r="B6" s="49" t="s">
        <v>19</v>
      </c>
      <c r="C6" s="49" t="s">
        <v>20</v>
      </c>
      <c r="D6" s="50" t="s">
        <v>21</v>
      </c>
      <c r="E6" s="51" t="s">
        <v>22</v>
      </c>
      <c r="F6" s="52">
        <v>0</v>
      </c>
      <c r="G6" s="60">
        <v>92250</v>
      </c>
      <c r="H6" s="52">
        <f t="shared" ref="H6:H8" si="1">F6+G6-K6-L6-M6</f>
        <v>68029</v>
      </c>
      <c r="I6" s="50"/>
      <c r="J6" s="39" t="s">
        <v>23</v>
      </c>
      <c r="K6" s="61">
        <f>24200</f>
        <v>24200</v>
      </c>
      <c r="L6" s="56">
        <v>8</v>
      </c>
      <c r="M6" s="62">
        <v>13</v>
      </c>
      <c r="N6" s="49"/>
      <c r="O6" s="46">
        <f>(L6+M6)/(K6+L6+M6)*100</f>
        <v>8.6701622558936459E-2</v>
      </c>
      <c r="S6" s="27"/>
      <c r="T6" s="28"/>
      <c r="U6" s="28"/>
      <c r="V6" s="63"/>
      <c r="W6" s="64"/>
      <c r="X6" s="63"/>
      <c r="AF6" s="17">
        <f t="shared" si="0"/>
        <v>46204</v>
      </c>
    </row>
    <row r="7" spans="1:32" s="58" customFormat="1" ht="25.5" customHeight="1" x14ac:dyDescent="0.3">
      <c r="A7" s="59"/>
      <c r="B7" s="49"/>
      <c r="C7" s="49"/>
      <c r="D7" s="50" t="s">
        <v>24</v>
      </c>
      <c r="E7" s="51" t="s">
        <v>25</v>
      </c>
      <c r="F7" s="52">
        <v>17046</v>
      </c>
      <c r="G7" s="60"/>
      <c r="H7" s="52">
        <f t="shared" si="1"/>
        <v>8791</v>
      </c>
      <c r="I7" s="50"/>
      <c r="J7" s="39" t="s">
        <v>26</v>
      </c>
      <c r="K7" s="61">
        <v>8250</v>
      </c>
      <c r="L7" s="56">
        <v>5</v>
      </c>
      <c r="M7" s="65"/>
      <c r="N7" s="49"/>
      <c r="O7" s="46"/>
      <c r="P7" s="58">
        <f>6100</f>
        <v>6100</v>
      </c>
      <c r="Q7" s="58">
        <v>3700</v>
      </c>
      <c r="S7" s="27"/>
      <c r="T7" s="28"/>
      <c r="U7" s="28"/>
      <c r="V7" s="63"/>
      <c r="W7" s="64"/>
      <c r="X7" s="63"/>
      <c r="AF7" s="17">
        <f t="shared" si="0"/>
        <v>46204</v>
      </c>
    </row>
    <row r="8" spans="1:32" s="58" customFormat="1" ht="25.5" customHeight="1" x14ac:dyDescent="0.3">
      <c r="A8" s="59"/>
      <c r="B8" s="49" t="s">
        <v>27</v>
      </c>
      <c r="C8" s="49" t="s">
        <v>28</v>
      </c>
      <c r="D8" s="50" t="s">
        <v>21</v>
      </c>
      <c r="E8" s="51" t="s">
        <v>22</v>
      </c>
      <c r="F8" s="52">
        <f>H6</f>
        <v>68029</v>
      </c>
      <c r="G8" s="60"/>
      <c r="H8" s="52">
        <f t="shared" si="1"/>
        <v>43809</v>
      </c>
      <c r="I8" s="50"/>
      <c r="J8" s="39" t="s">
        <v>23</v>
      </c>
      <c r="K8" s="66">
        <v>24200</v>
      </c>
      <c r="L8" s="56">
        <v>14</v>
      </c>
      <c r="M8" s="65">
        <v>6</v>
      </c>
      <c r="N8" s="49"/>
      <c r="O8" s="46">
        <f t="shared" ref="O8:O24" si="2">(L8+M8)/(K8+L8+M8)*100</f>
        <v>8.2576383154417829E-2</v>
      </c>
      <c r="S8" s="27"/>
      <c r="T8" s="28"/>
      <c r="U8" s="28"/>
      <c r="V8" s="63"/>
      <c r="W8" s="64"/>
      <c r="X8" s="63"/>
      <c r="AF8" s="17">
        <f t="shared" si="0"/>
        <v>46204</v>
      </c>
    </row>
    <row r="9" spans="1:32" s="58" customFormat="1" ht="25.5" customHeight="1" x14ac:dyDescent="0.3">
      <c r="A9" s="59"/>
      <c r="B9" s="49"/>
      <c r="C9" s="49"/>
      <c r="D9" s="50"/>
      <c r="E9" s="51"/>
      <c r="F9" s="52"/>
      <c r="G9" s="60"/>
      <c r="H9" s="52"/>
      <c r="I9" s="50"/>
      <c r="J9" s="39"/>
      <c r="K9" s="61"/>
      <c r="L9" s="56"/>
      <c r="M9" s="62"/>
      <c r="N9" s="49"/>
      <c r="O9" s="46" t="e">
        <f t="shared" si="2"/>
        <v>#DIV/0!</v>
      </c>
      <c r="Q9" s="26"/>
      <c r="S9" s="27"/>
      <c r="T9" s="28"/>
      <c r="U9" s="28"/>
      <c r="V9" s="63"/>
      <c r="W9" s="64"/>
      <c r="X9" s="63"/>
      <c r="AF9" s="17">
        <f t="shared" si="0"/>
        <v>46204</v>
      </c>
    </row>
    <row r="10" spans="1:32" s="58" customFormat="1" ht="25.5" customHeight="1" x14ac:dyDescent="0.3">
      <c r="A10" s="59">
        <v>46205</v>
      </c>
      <c r="B10" s="49" t="s">
        <v>19</v>
      </c>
      <c r="C10" s="49" t="s">
        <v>20</v>
      </c>
      <c r="D10" s="50" t="s">
        <v>21</v>
      </c>
      <c r="E10" s="51" t="s">
        <v>22</v>
      </c>
      <c r="F10" s="52">
        <v>0</v>
      </c>
      <c r="G10" s="60"/>
      <c r="H10" s="52">
        <f t="shared" ref="H10:H14" si="3">F10+G10-K10-L10-M10</f>
        <v>0</v>
      </c>
      <c r="I10" s="50"/>
      <c r="J10" s="39" t="s">
        <v>23</v>
      </c>
      <c r="K10" s="61"/>
      <c r="L10" s="56"/>
      <c r="M10" s="62"/>
      <c r="N10" s="49"/>
      <c r="O10" s="46" t="e">
        <f>(L10+M10)/(K10+L10+M10)*100</f>
        <v>#DIV/0!</v>
      </c>
      <c r="Q10" s="26"/>
      <c r="S10" s="27"/>
      <c r="T10" s="28"/>
      <c r="U10" s="28"/>
      <c r="V10" s="63"/>
      <c r="W10" s="64"/>
      <c r="X10" s="63"/>
      <c r="AF10" s="17">
        <f>+IF(A10&lt;&gt;0,A10,IF(AND(A10="",AE10=1),"",AF9))</f>
        <v>46205</v>
      </c>
    </row>
    <row r="11" spans="1:32" ht="24" customHeight="1" x14ac:dyDescent="0.3">
      <c r="A11" s="59"/>
      <c r="B11" s="49"/>
      <c r="C11" s="49"/>
      <c r="D11" s="50" t="s">
        <v>24</v>
      </c>
      <c r="E11" s="51" t="s">
        <v>25</v>
      </c>
      <c r="F11" s="52">
        <f>H7</f>
        <v>8791</v>
      </c>
      <c r="G11" s="60"/>
      <c r="H11" s="52">
        <f t="shared" si="3"/>
        <v>3286</v>
      </c>
      <c r="I11" s="50"/>
      <c r="J11" s="39" t="s">
        <v>26</v>
      </c>
      <c r="K11" s="61">
        <v>5500</v>
      </c>
      <c r="L11" s="56">
        <v>5</v>
      </c>
      <c r="M11" s="62"/>
      <c r="N11" s="67"/>
      <c r="O11" s="46">
        <f t="shared" si="2"/>
        <v>9.0826521344232511E-2</v>
      </c>
      <c r="P11" s="57"/>
      <c r="AF11" s="17">
        <f t="shared" si="0"/>
        <v>46205</v>
      </c>
    </row>
    <row r="12" spans="1:32" ht="25.5" customHeight="1" x14ac:dyDescent="0.3">
      <c r="A12" s="59"/>
      <c r="B12" s="49"/>
      <c r="C12" s="49"/>
      <c r="D12" s="50" t="s">
        <v>29</v>
      </c>
      <c r="E12" s="51" t="s">
        <v>30</v>
      </c>
      <c r="F12" s="52"/>
      <c r="G12" s="60">
        <v>52450</v>
      </c>
      <c r="H12" s="52">
        <f t="shared" si="3"/>
        <v>34438</v>
      </c>
      <c r="I12" s="50"/>
      <c r="J12" s="39" t="s">
        <v>31</v>
      </c>
      <c r="K12" s="61">
        <v>18000</v>
      </c>
      <c r="L12" s="56">
        <v>9</v>
      </c>
      <c r="M12" s="62">
        <v>3</v>
      </c>
      <c r="N12" s="67"/>
      <c r="O12" s="46">
        <f t="shared" si="2"/>
        <v>6.6622251832111928E-2</v>
      </c>
      <c r="P12" s="57"/>
      <c r="AF12" s="17">
        <f t="shared" si="0"/>
        <v>46205</v>
      </c>
    </row>
    <row r="13" spans="1:32" ht="25.5" customHeight="1" x14ac:dyDescent="0.3">
      <c r="A13" s="59"/>
      <c r="B13" s="49" t="s">
        <v>27</v>
      </c>
      <c r="C13" s="49" t="s">
        <v>28</v>
      </c>
      <c r="D13" s="50" t="s">
        <v>29</v>
      </c>
      <c r="E13" s="51" t="s">
        <v>30</v>
      </c>
      <c r="F13" s="52">
        <f>H12</f>
        <v>34438</v>
      </c>
      <c r="G13" s="60"/>
      <c r="H13" s="52">
        <f t="shared" si="3"/>
        <v>12622</v>
      </c>
      <c r="I13" s="50"/>
      <c r="J13" s="39" t="s">
        <v>31</v>
      </c>
      <c r="K13" s="66">
        <v>21800</v>
      </c>
      <c r="L13" s="56">
        <v>10</v>
      </c>
      <c r="M13" s="56">
        <v>6</v>
      </c>
      <c r="N13" s="67"/>
      <c r="O13" s="46">
        <f t="shared" si="2"/>
        <v>7.3340667400073334E-2</v>
      </c>
      <c r="P13" s="57"/>
      <c r="AF13" s="17">
        <f t="shared" si="0"/>
        <v>46205</v>
      </c>
    </row>
    <row r="14" spans="1:32" ht="25.5" customHeight="1" x14ac:dyDescent="0.3">
      <c r="A14" s="59"/>
      <c r="B14" s="49"/>
      <c r="C14" s="49"/>
      <c r="D14" s="50" t="s">
        <v>24</v>
      </c>
      <c r="E14" s="51" t="s">
        <v>25</v>
      </c>
      <c r="F14" s="52">
        <f>H11</f>
        <v>3286</v>
      </c>
      <c r="G14" s="60"/>
      <c r="H14" s="52">
        <f t="shared" si="3"/>
        <v>884</v>
      </c>
      <c r="I14" s="50"/>
      <c r="J14" s="39" t="s">
        <v>26</v>
      </c>
      <c r="K14" s="66">
        <v>2400</v>
      </c>
      <c r="L14" s="56">
        <v>2</v>
      </c>
      <c r="M14" s="56"/>
      <c r="N14" s="67"/>
      <c r="O14" s="46">
        <f t="shared" si="2"/>
        <v>8.3263946711074108E-2</v>
      </c>
      <c r="P14" s="57"/>
      <c r="AF14" s="17">
        <f t="shared" si="0"/>
        <v>46205</v>
      </c>
    </row>
    <row r="15" spans="1:32" ht="25.5" customHeight="1" x14ac:dyDescent="0.3">
      <c r="A15" s="59"/>
      <c r="B15" s="49"/>
      <c r="C15" s="49"/>
      <c r="D15" s="50"/>
      <c r="E15" s="51"/>
      <c r="F15" s="52"/>
      <c r="G15" s="60"/>
      <c r="H15" s="52"/>
      <c r="I15" s="50"/>
      <c r="J15" s="39"/>
      <c r="K15" s="61"/>
      <c r="L15" s="56"/>
      <c r="M15" s="56"/>
      <c r="N15" s="67"/>
      <c r="O15" s="46" t="e">
        <f t="shared" si="2"/>
        <v>#DIV/0!</v>
      </c>
      <c r="P15" s="57">
        <f>3300+8530-4400-3350</f>
        <v>4080</v>
      </c>
      <c r="AF15" s="17">
        <f t="shared" si="0"/>
        <v>46205</v>
      </c>
    </row>
    <row r="16" spans="1:32" ht="25.5" customHeight="1" x14ac:dyDescent="0.3">
      <c r="A16" s="59">
        <v>46206</v>
      </c>
      <c r="B16" s="49" t="s">
        <v>19</v>
      </c>
      <c r="C16" s="49" t="s">
        <v>20</v>
      </c>
      <c r="D16" s="50" t="s">
        <v>29</v>
      </c>
      <c r="E16" s="51" t="s">
        <v>30</v>
      </c>
      <c r="F16" s="52">
        <f>H13</f>
        <v>12622</v>
      </c>
      <c r="G16" s="60">
        <v>23800</v>
      </c>
      <c r="H16" s="52">
        <f t="shared" ref="H16:H20" si="4">F16+G16-K16-L16-M16</f>
        <v>12210</v>
      </c>
      <c r="I16" s="50"/>
      <c r="J16" s="39" t="s">
        <v>31</v>
      </c>
      <c r="K16" s="66">
        <v>24200</v>
      </c>
      <c r="L16" s="56">
        <v>5</v>
      </c>
      <c r="M16" s="68">
        <v>7</v>
      </c>
      <c r="N16" s="67"/>
      <c r="O16" s="46">
        <f t="shared" si="2"/>
        <v>4.956220056170494E-2</v>
      </c>
      <c r="P16" s="57"/>
      <c r="AF16" s="17">
        <f t="shared" si="0"/>
        <v>46206</v>
      </c>
    </row>
    <row r="17" spans="1:32" ht="25.5" customHeight="1" x14ac:dyDescent="0.3">
      <c r="A17" s="59"/>
      <c r="B17" s="49" t="s">
        <v>27</v>
      </c>
      <c r="C17" s="49" t="s">
        <v>28</v>
      </c>
      <c r="D17" s="50" t="s">
        <v>29</v>
      </c>
      <c r="E17" s="51" t="s">
        <v>30</v>
      </c>
      <c r="F17" s="52">
        <f>H16</f>
        <v>12210</v>
      </c>
      <c r="G17" s="60"/>
      <c r="H17" s="52">
        <f t="shared" si="4"/>
        <v>4274</v>
      </c>
      <c r="I17" s="50"/>
      <c r="J17" s="39" t="s">
        <v>31</v>
      </c>
      <c r="K17" s="66">
        <v>7930</v>
      </c>
      <c r="L17" s="56">
        <v>4</v>
      </c>
      <c r="M17" s="68">
        <v>2</v>
      </c>
      <c r="N17" s="67"/>
      <c r="O17" s="46">
        <f t="shared" si="2"/>
        <v>7.5604838709677422E-2</v>
      </c>
      <c r="P17" s="57"/>
    </row>
    <row r="18" spans="1:32" ht="25.5" customHeight="1" x14ac:dyDescent="0.3">
      <c r="A18" s="59"/>
      <c r="B18" s="49"/>
      <c r="C18" s="49"/>
      <c r="D18" s="50" t="s">
        <v>21</v>
      </c>
      <c r="E18" s="51" t="s">
        <v>22</v>
      </c>
      <c r="F18" s="52">
        <f>H8</f>
        <v>43809</v>
      </c>
      <c r="G18" s="60"/>
      <c r="H18" s="52">
        <f t="shared" si="4"/>
        <v>27509</v>
      </c>
      <c r="I18" s="50"/>
      <c r="J18" s="39" t="s">
        <v>23</v>
      </c>
      <c r="K18" s="66">
        <v>16300</v>
      </c>
      <c r="L18" s="56"/>
      <c r="M18" s="68"/>
      <c r="N18" s="67"/>
      <c r="O18" s="46">
        <f t="shared" si="2"/>
        <v>0</v>
      </c>
      <c r="P18" s="57"/>
    </row>
    <row r="19" spans="1:32" ht="25.5" customHeight="1" x14ac:dyDescent="0.3">
      <c r="A19" s="59"/>
      <c r="B19" s="49"/>
      <c r="C19" s="49"/>
      <c r="D19" s="50" t="s">
        <v>32</v>
      </c>
      <c r="E19" s="51" t="s">
        <v>33</v>
      </c>
      <c r="F19" s="52"/>
      <c r="G19" s="60">
        <v>10250</v>
      </c>
      <c r="H19" s="52">
        <f t="shared" si="4"/>
        <v>10250</v>
      </c>
      <c r="I19" s="50"/>
      <c r="J19" s="69" t="s">
        <v>34</v>
      </c>
      <c r="K19" s="66"/>
      <c r="L19" s="56"/>
      <c r="M19" s="68"/>
      <c r="N19" s="67"/>
      <c r="O19" s="46" t="e">
        <f t="shared" si="2"/>
        <v>#DIV/0!</v>
      </c>
      <c r="P19" s="57"/>
    </row>
    <row r="20" spans="1:32" ht="25.5" customHeight="1" x14ac:dyDescent="0.3">
      <c r="A20" s="59"/>
      <c r="B20" s="49"/>
      <c r="C20" s="49"/>
      <c r="D20" s="50" t="s">
        <v>35</v>
      </c>
      <c r="E20" s="51" t="s">
        <v>33</v>
      </c>
      <c r="F20" s="52"/>
      <c r="G20" s="60">
        <v>5100</v>
      </c>
      <c r="H20" s="52">
        <f t="shared" si="4"/>
        <v>47</v>
      </c>
      <c r="I20" s="50"/>
      <c r="J20" s="69" t="s">
        <v>36</v>
      </c>
      <c r="K20" s="66">
        <f>2500+1300+1247</f>
        <v>5047</v>
      </c>
      <c r="L20" s="56">
        <v>6</v>
      </c>
      <c r="M20" s="68"/>
      <c r="N20" s="67"/>
      <c r="O20" s="46">
        <f t="shared" si="2"/>
        <v>0.11874134177716208</v>
      </c>
      <c r="P20" s="57"/>
      <c r="AF20" s="17">
        <f>+IF(A20&lt;&gt;0,A20,IF(AND(A20="",AE20=1),"",AF16))</f>
        <v>46206</v>
      </c>
    </row>
    <row r="21" spans="1:32" ht="25.5" customHeight="1" x14ac:dyDescent="0.3">
      <c r="A21" s="59"/>
      <c r="B21" s="49"/>
      <c r="C21" s="49"/>
      <c r="D21" s="50"/>
      <c r="E21" s="51"/>
      <c r="F21" s="52"/>
      <c r="G21" s="60"/>
      <c r="H21" s="52"/>
      <c r="I21" s="50"/>
      <c r="J21" s="39"/>
      <c r="K21" s="66"/>
      <c r="L21" s="56"/>
      <c r="M21" s="68"/>
      <c r="N21" s="67"/>
      <c r="O21" s="46" t="e">
        <f t="shared" si="2"/>
        <v>#DIV/0!</v>
      </c>
      <c r="P21" s="57"/>
      <c r="AF21" s="17">
        <f t="shared" si="0"/>
        <v>46206</v>
      </c>
    </row>
    <row r="22" spans="1:32" ht="25.5" customHeight="1" x14ac:dyDescent="0.3">
      <c r="A22" s="59">
        <v>46207</v>
      </c>
      <c r="B22" s="49" t="s">
        <v>19</v>
      </c>
      <c r="C22" s="49" t="s">
        <v>20</v>
      </c>
      <c r="D22" s="50" t="s">
        <v>21</v>
      </c>
      <c r="E22" s="51" t="s">
        <v>22</v>
      </c>
      <c r="F22" s="52">
        <f>H18</f>
        <v>27509</v>
      </c>
      <c r="G22" s="60"/>
      <c r="H22" s="52">
        <f t="shared" ref="H22:H24" si="5">F22+G22-K22-L22-M22</f>
        <v>3297</v>
      </c>
      <c r="I22" s="50"/>
      <c r="J22" s="39" t="s">
        <v>23</v>
      </c>
      <c r="K22" s="66">
        <v>24200</v>
      </c>
      <c r="L22" s="56">
        <v>6</v>
      </c>
      <c r="M22" s="68">
        <v>6</v>
      </c>
      <c r="N22" s="67"/>
      <c r="O22" s="46">
        <f t="shared" si="2"/>
        <v>4.956220056170494E-2</v>
      </c>
      <c r="P22" s="57"/>
      <c r="AF22" s="17">
        <f t="shared" si="0"/>
        <v>46207</v>
      </c>
    </row>
    <row r="23" spans="1:32" ht="25.5" customHeight="1" x14ac:dyDescent="0.3">
      <c r="A23" s="59"/>
      <c r="B23" s="49" t="s">
        <v>27</v>
      </c>
      <c r="C23" s="49" t="s">
        <v>28</v>
      </c>
      <c r="D23" s="50" t="s">
        <v>21</v>
      </c>
      <c r="E23" s="51" t="s">
        <v>22</v>
      </c>
      <c r="F23" s="52">
        <f>H22</f>
        <v>3297</v>
      </c>
      <c r="G23" s="60">
        <v>14250</v>
      </c>
      <c r="H23" s="52">
        <f t="shared" si="5"/>
        <v>10</v>
      </c>
      <c r="I23" s="50"/>
      <c r="J23" s="39" t="s">
        <v>23</v>
      </c>
      <c r="K23" s="66">
        <v>17530</v>
      </c>
      <c r="L23" s="56">
        <v>4</v>
      </c>
      <c r="M23" s="68">
        <v>3</v>
      </c>
      <c r="N23" s="67"/>
      <c r="O23" s="46"/>
      <c r="P23" s="57"/>
      <c r="AF23" s="17">
        <f t="shared" si="0"/>
        <v>46207</v>
      </c>
    </row>
    <row r="24" spans="1:32" ht="22.5" customHeight="1" x14ac:dyDescent="0.3">
      <c r="A24" s="59"/>
      <c r="B24" s="49"/>
      <c r="C24" s="49"/>
      <c r="D24" s="50" t="s">
        <v>32</v>
      </c>
      <c r="E24" s="51" t="s">
        <v>33</v>
      </c>
      <c r="F24" s="52">
        <f>H19</f>
        <v>10250</v>
      </c>
      <c r="G24" s="60"/>
      <c r="H24" s="52">
        <f t="shared" si="5"/>
        <v>6497</v>
      </c>
      <c r="I24" s="50"/>
      <c r="J24" s="69" t="s">
        <v>34</v>
      </c>
      <c r="K24" s="40">
        <v>3750</v>
      </c>
      <c r="L24" s="70">
        <v>3</v>
      </c>
      <c r="M24" s="71"/>
      <c r="N24" s="50"/>
      <c r="O24" s="46">
        <f t="shared" si="2"/>
        <v>7.9936051159072735E-2</v>
      </c>
      <c r="P24" s="57"/>
      <c r="AF24" s="17">
        <f t="shared" si="0"/>
        <v>46207</v>
      </c>
    </row>
    <row r="25" spans="1:32" ht="22.5" customHeight="1" x14ac:dyDescent="0.3">
      <c r="A25" s="59"/>
      <c r="B25" s="49"/>
      <c r="C25" s="49"/>
      <c r="D25" s="50"/>
      <c r="E25" s="51"/>
      <c r="F25" s="52"/>
      <c r="G25" s="60"/>
      <c r="H25" s="52"/>
      <c r="I25" s="50"/>
      <c r="J25" s="72"/>
      <c r="K25" s="40"/>
      <c r="L25" s="70"/>
      <c r="M25" s="71"/>
      <c r="N25" s="50"/>
      <c r="O25" s="46"/>
      <c r="P25" s="57"/>
      <c r="AF25" s="17">
        <f t="shared" si="0"/>
        <v>46207</v>
      </c>
    </row>
    <row r="26" spans="1:32" ht="22.5" customHeight="1" x14ac:dyDescent="0.3">
      <c r="A26" s="59">
        <v>46208</v>
      </c>
      <c r="B26" s="49" t="s">
        <v>19</v>
      </c>
      <c r="C26" s="49" t="s">
        <v>20</v>
      </c>
      <c r="D26" s="50" t="s">
        <v>32</v>
      </c>
      <c r="E26" s="51" t="s">
        <v>33</v>
      </c>
      <c r="F26" s="52">
        <f>H24</f>
        <v>6497</v>
      </c>
      <c r="G26" s="60"/>
      <c r="H26" s="52">
        <f t="shared" ref="H26:H27" si="6">F26+G26-K26-L26-M26</f>
        <v>1247</v>
      </c>
      <c r="I26" s="50"/>
      <c r="J26" s="69" t="s">
        <v>34</v>
      </c>
      <c r="K26" s="40">
        <v>5250</v>
      </c>
      <c r="L26" s="70"/>
      <c r="M26" s="71"/>
      <c r="N26" s="50"/>
      <c r="O26" s="46"/>
      <c r="P26" s="57"/>
      <c r="AF26" s="17">
        <f t="shared" si="0"/>
        <v>46208</v>
      </c>
    </row>
    <row r="27" spans="1:32" ht="22.5" customHeight="1" x14ac:dyDescent="0.3">
      <c r="A27" s="59"/>
      <c r="B27" s="49" t="s">
        <v>27</v>
      </c>
      <c r="C27" s="49" t="s">
        <v>28</v>
      </c>
      <c r="D27" s="50" t="s">
        <v>24</v>
      </c>
      <c r="E27" s="51" t="s">
        <v>25</v>
      </c>
      <c r="F27" s="52">
        <f>H14</f>
        <v>884</v>
      </c>
      <c r="G27" s="60"/>
      <c r="H27" s="52">
        <f t="shared" si="6"/>
        <v>-6</v>
      </c>
      <c r="I27" s="50"/>
      <c r="J27" s="39" t="s">
        <v>26</v>
      </c>
      <c r="K27" s="40">
        <v>890</v>
      </c>
      <c r="L27" s="56"/>
      <c r="M27" s="68"/>
      <c r="N27" s="50"/>
      <c r="O27" s="46">
        <f>5800+2520</f>
        <v>8320</v>
      </c>
      <c r="P27" s="57"/>
      <c r="AF27" s="17">
        <f t="shared" si="0"/>
        <v>46208</v>
      </c>
    </row>
    <row r="28" spans="1:32" ht="22.5" customHeight="1" x14ac:dyDescent="0.3">
      <c r="A28" s="59"/>
      <c r="B28" s="49"/>
      <c r="C28" s="49"/>
      <c r="D28" s="50" t="s">
        <v>37</v>
      </c>
      <c r="E28" s="51" t="s">
        <v>38</v>
      </c>
      <c r="F28" s="52"/>
      <c r="G28" s="60">
        <v>30800</v>
      </c>
      <c r="H28" s="52">
        <f>F28+G28-K28-L28-M28-K29-L29-M29</f>
        <v>10848</v>
      </c>
      <c r="I28" s="50"/>
      <c r="J28" s="39" t="s">
        <v>39</v>
      </c>
      <c r="K28" s="40">
        <v>5918</v>
      </c>
      <c r="L28" s="56"/>
      <c r="M28" s="56"/>
      <c r="N28" s="50"/>
      <c r="O28" s="46"/>
      <c r="P28" s="57"/>
      <c r="AF28" s="17">
        <f t="shared" si="0"/>
        <v>46208</v>
      </c>
    </row>
    <row r="29" spans="1:32" ht="25.5" customHeight="1" x14ac:dyDescent="0.3">
      <c r="A29" s="59"/>
      <c r="B29" s="49"/>
      <c r="C29" s="49"/>
      <c r="D29" s="50"/>
      <c r="E29" s="51"/>
      <c r="F29" s="52"/>
      <c r="G29" s="60"/>
      <c r="H29" s="52"/>
      <c r="I29" s="50"/>
      <c r="J29" s="39" t="s">
        <v>40</v>
      </c>
      <c r="K29" s="73">
        <v>14020</v>
      </c>
      <c r="L29" s="56">
        <v>8</v>
      </c>
      <c r="M29" s="56">
        <v>6</v>
      </c>
      <c r="N29" s="56"/>
      <c r="O29" s="46">
        <f>11425-1465</f>
        <v>9960</v>
      </c>
      <c r="P29" s="57"/>
      <c r="AF29" s="17">
        <f t="shared" si="0"/>
        <v>46208</v>
      </c>
    </row>
    <row r="30" spans="1:32" ht="25.5" customHeight="1" x14ac:dyDescent="0.3">
      <c r="A30" s="59"/>
      <c r="B30" s="49"/>
      <c r="C30" s="49"/>
      <c r="D30" s="50" t="s">
        <v>37</v>
      </c>
      <c r="E30" s="51" t="s">
        <v>38</v>
      </c>
      <c r="F30" s="52">
        <f>H28</f>
        <v>10848</v>
      </c>
      <c r="G30" s="60"/>
      <c r="H30" s="52">
        <f>F30+G30-K30-L30-M30-K31-L31-M31</f>
        <v>2128</v>
      </c>
      <c r="I30" s="50"/>
      <c r="J30" s="39" t="s">
        <v>39</v>
      </c>
      <c r="K30" s="73">
        <v>8710</v>
      </c>
      <c r="L30" s="56">
        <v>6</v>
      </c>
      <c r="M30" s="56">
        <v>4</v>
      </c>
      <c r="N30" s="56"/>
      <c r="O30" s="46"/>
      <c r="P30" s="57"/>
      <c r="AF30" s="17">
        <f t="shared" si="0"/>
        <v>46208</v>
      </c>
    </row>
    <row r="31" spans="1:32" ht="25.5" customHeight="1" x14ac:dyDescent="0.3">
      <c r="A31" s="59"/>
      <c r="B31" s="49"/>
      <c r="C31" s="49"/>
      <c r="D31" s="50"/>
      <c r="E31" s="51"/>
      <c r="F31" s="52"/>
      <c r="G31" s="60"/>
      <c r="H31" s="52"/>
      <c r="I31" s="50"/>
      <c r="J31" s="39" t="s">
        <v>40</v>
      </c>
      <c r="K31" s="40"/>
      <c r="L31" s="56"/>
      <c r="M31" s="56"/>
      <c r="N31" s="56"/>
      <c r="O31" s="46" t="e">
        <f>(L31+M31)/(K31+L31+M31)*100</f>
        <v>#DIV/0!</v>
      </c>
      <c r="P31" s="57" t="e">
        <f>L31/K31*100</f>
        <v>#DIV/0!</v>
      </c>
      <c r="R31" s="25" t="s">
        <v>41</v>
      </c>
      <c r="S31" s="27">
        <f>22000+22000</f>
        <v>44000</v>
      </c>
      <c r="AF31" s="17">
        <f t="shared" si="0"/>
        <v>46208</v>
      </c>
    </row>
    <row r="32" spans="1:32" ht="25.5" customHeight="1" x14ac:dyDescent="0.3">
      <c r="A32" s="59"/>
      <c r="B32" s="49"/>
      <c r="C32" s="49"/>
      <c r="D32" s="50" t="s">
        <v>42</v>
      </c>
      <c r="E32" s="51" t="s">
        <v>22</v>
      </c>
      <c r="F32" s="52"/>
      <c r="G32" s="60">
        <v>69800</v>
      </c>
      <c r="H32" s="52">
        <f>F32+G32-K32-L32-M32</f>
        <v>67798</v>
      </c>
      <c r="I32" s="50"/>
      <c r="J32" s="39" t="s">
        <v>23</v>
      </c>
      <c r="K32" s="40">
        <v>2000</v>
      </c>
      <c r="L32" s="56">
        <v>2</v>
      </c>
      <c r="M32" s="56"/>
      <c r="N32" s="56"/>
      <c r="O32" s="46"/>
      <c r="P32" s="57"/>
      <c r="AF32" s="17">
        <f t="shared" si="0"/>
        <v>46208</v>
      </c>
    </row>
    <row r="33" spans="1:32" ht="25.5" customHeight="1" x14ac:dyDescent="0.3">
      <c r="A33" s="59"/>
      <c r="B33" s="49"/>
      <c r="C33" s="49"/>
      <c r="D33" s="50"/>
      <c r="E33" s="51"/>
      <c r="F33" s="52"/>
      <c r="G33" s="60"/>
      <c r="H33" s="52"/>
      <c r="I33" s="50"/>
      <c r="J33" s="37"/>
      <c r="K33" s="40"/>
      <c r="L33" s="56"/>
      <c r="M33" s="56"/>
      <c r="N33" s="56"/>
      <c r="O33" s="46"/>
      <c r="P33" s="57"/>
      <c r="AF33" s="17">
        <f t="shared" si="0"/>
        <v>46208</v>
      </c>
    </row>
    <row r="34" spans="1:32" ht="25.5" customHeight="1" x14ac:dyDescent="0.3">
      <c r="A34" s="59">
        <v>46209</v>
      </c>
      <c r="B34" s="49" t="s">
        <v>19</v>
      </c>
      <c r="C34" s="49" t="s">
        <v>28</v>
      </c>
      <c r="D34" s="50" t="s">
        <v>32</v>
      </c>
      <c r="E34" s="51" t="s">
        <v>33</v>
      </c>
      <c r="F34" s="52">
        <f>H26</f>
        <v>1247</v>
      </c>
      <c r="G34" s="60"/>
      <c r="H34" s="52">
        <f t="shared" ref="H34:H38" si="7">F34+G34-K34-L34-M34</f>
        <v>47</v>
      </c>
      <c r="I34" s="50"/>
      <c r="J34" s="69" t="s">
        <v>34</v>
      </c>
      <c r="K34" s="40">
        <v>1200</v>
      </c>
      <c r="L34" s="56"/>
      <c r="M34" s="56"/>
      <c r="N34" s="56"/>
      <c r="O34" s="46"/>
      <c r="P34" s="57"/>
      <c r="AF34" s="17">
        <f t="shared" si="0"/>
        <v>46209</v>
      </c>
    </row>
    <row r="35" spans="1:32" ht="25.5" customHeight="1" x14ac:dyDescent="0.3">
      <c r="A35" s="59"/>
      <c r="B35" s="49"/>
      <c r="C35" s="49"/>
      <c r="D35" s="50" t="s">
        <v>43</v>
      </c>
      <c r="E35" s="51" t="s">
        <v>22</v>
      </c>
      <c r="F35" s="52">
        <f>H32</f>
        <v>67798</v>
      </c>
      <c r="G35" s="60"/>
      <c r="H35" s="52">
        <f t="shared" si="7"/>
        <v>41224</v>
      </c>
      <c r="I35" s="50"/>
      <c r="J35" s="39" t="s">
        <v>23</v>
      </c>
      <c r="K35" s="40">
        <f>24200+2350</f>
        <v>26550</v>
      </c>
      <c r="L35" s="56">
        <v>14</v>
      </c>
      <c r="M35" s="56">
        <v>10</v>
      </c>
      <c r="N35" s="56"/>
      <c r="O35" s="46"/>
      <c r="P35" s="57"/>
      <c r="AF35" s="17">
        <f t="shared" si="0"/>
        <v>46209</v>
      </c>
    </row>
    <row r="36" spans="1:32" ht="25.5" customHeight="1" x14ac:dyDescent="0.3">
      <c r="A36" s="59"/>
      <c r="B36" s="49"/>
      <c r="C36" s="49"/>
      <c r="D36" s="50" t="s">
        <v>29</v>
      </c>
      <c r="E36" s="51" t="s">
        <v>30</v>
      </c>
      <c r="F36" s="52">
        <f>H17</f>
        <v>4274</v>
      </c>
      <c r="G36" s="60"/>
      <c r="H36" s="52">
        <f t="shared" si="7"/>
        <v>1524</v>
      </c>
      <c r="I36" s="50"/>
      <c r="J36" s="39" t="s">
        <v>31</v>
      </c>
      <c r="K36" s="40">
        <f>1050+1700</f>
        <v>2750</v>
      </c>
      <c r="L36" s="56"/>
      <c r="M36" s="56"/>
      <c r="N36" s="56"/>
      <c r="O36" s="46"/>
      <c r="P36" s="57"/>
      <c r="AF36" s="17">
        <f t="shared" si="0"/>
        <v>46209</v>
      </c>
    </row>
    <row r="37" spans="1:32" ht="25.5" customHeight="1" x14ac:dyDescent="0.3">
      <c r="A37" s="59"/>
      <c r="B37" s="49" t="s">
        <v>27</v>
      </c>
      <c r="C37" s="49" t="s">
        <v>20</v>
      </c>
      <c r="D37" s="50" t="s">
        <v>43</v>
      </c>
      <c r="E37" s="51" t="s">
        <v>22</v>
      </c>
      <c r="F37" s="52">
        <f>H35</f>
        <v>41224</v>
      </c>
      <c r="G37" s="60"/>
      <c r="H37" s="52">
        <f t="shared" si="7"/>
        <v>18211</v>
      </c>
      <c r="I37" s="50"/>
      <c r="J37" s="39" t="s">
        <v>23</v>
      </c>
      <c r="K37" s="74">
        <v>23000</v>
      </c>
      <c r="L37" s="56">
        <v>8</v>
      </c>
      <c r="M37" s="56">
        <v>5</v>
      </c>
      <c r="N37" s="56"/>
      <c r="O37" s="46"/>
      <c r="P37" s="57"/>
      <c r="AF37" s="17">
        <f t="shared" si="0"/>
        <v>46209</v>
      </c>
    </row>
    <row r="38" spans="1:32" ht="25.5" customHeight="1" x14ac:dyDescent="0.3">
      <c r="A38" s="59"/>
      <c r="B38" s="49"/>
      <c r="C38" s="49"/>
      <c r="D38" s="50" t="s">
        <v>29</v>
      </c>
      <c r="E38" s="51" t="s">
        <v>30</v>
      </c>
      <c r="F38" s="52">
        <f>H36</f>
        <v>1524</v>
      </c>
      <c r="G38" s="60"/>
      <c r="H38" s="52">
        <f t="shared" si="7"/>
        <v>199</v>
      </c>
      <c r="I38" s="50"/>
      <c r="J38" s="39" t="s">
        <v>31</v>
      </c>
      <c r="K38" s="75">
        <v>1325</v>
      </c>
      <c r="L38" s="56"/>
      <c r="M38" s="56"/>
      <c r="N38" s="56"/>
      <c r="O38" s="46"/>
      <c r="P38" s="57"/>
      <c r="AF38" s="17">
        <f t="shared" si="0"/>
        <v>46209</v>
      </c>
    </row>
    <row r="39" spans="1:32" ht="25.5" customHeight="1" x14ac:dyDescent="0.3">
      <c r="A39" s="59"/>
      <c r="B39" s="49"/>
      <c r="C39" s="49"/>
      <c r="D39" s="50"/>
      <c r="E39" s="51"/>
      <c r="F39" s="52"/>
      <c r="G39" s="60"/>
      <c r="H39" s="52"/>
      <c r="I39" s="50"/>
      <c r="J39" s="39"/>
      <c r="K39" s="75"/>
      <c r="L39" s="56"/>
      <c r="M39" s="56"/>
      <c r="N39" s="56"/>
      <c r="O39" s="46"/>
      <c r="P39" s="57"/>
    </row>
    <row r="40" spans="1:32" ht="25.5" customHeight="1" x14ac:dyDescent="0.3">
      <c r="A40" s="59">
        <v>46210</v>
      </c>
      <c r="B40" s="49" t="s">
        <v>19</v>
      </c>
      <c r="C40" s="49" t="s">
        <v>28</v>
      </c>
      <c r="D40" s="50" t="s">
        <v>44</v>
      </c>
      <c r="E40" s="51" t="s">
        <v>45</v>
      </c>
      <c r="F40" s="52"/>
      <c r="G40" s="60">
        <v>45000</v>
      </c>
      <c r="H40" s="52">
        <f t="shared" ref="H40:H42" si="8">F40+G40-K40-L40-M40</f>
        <v>24740</v>
      </c>
      <c r="I40" s="50"/>
      <c r="J40" s="39" t="s">
        <v>46</v>
      </c>
      <c r="K40" s="40">
        <v>20230</v>
      </c>
      <c r="L40" s="56">
        <v>10</v>
      </c>
      <c r="M40" s="56">
        <v>20</v>
      </c>
      <c r="N40" s="56"/>
      <c r="O40" s="46">
        <f>0.35*9</f>
        <v>3.15</v>
      </c>
      <c r="P40" s="57"/>
      <c r="AF40" s="17">
        <f>+IF(A40&lt;&gt;0,A40,IF(AND(A40="",AE40=1),"",AF38))</f>
        <v>46210</v>
      </c>
    </row>
    <row r="41" spans="1:32" ht="25.5" customHeight="1" x14ac:dyDescent="0.3">
      <c r="A41" s="59"/>
      <c r="B41" s="49" t="s">
        <v>27</v>
      </c>
      <c r="C41" s="49" t="s">
        <v>47</v>
      </c>
      <c r="D41" s="50" t="s">
        <v>43</v>
      </c>
      <c r="E41" s="51" t="s">
        <v>22</v>
      </c>
      <c r="F41" s="52">
        <f>H37</f>
        <v>18211</v>
      </c>
      <c r="G41" s="60">
        <v>24000</v>
      </c>
      <c r="H41" s="52">
        <f t="shared" si="8"/>
        <v>29057</v>
      </c>
      <c r="I41" s="50"/>
      <c r="J41" s="39" t="s">
        <v>23</v>
      </c>
      <c r="K41" s="75">
        <f>12100+1050</f>
        <v>13150</v>
      </c>
      <c r="L41" s="56">
        <v>2</v>
      </c>
      <c r="M41" s="56">
        <v>2</v>
      </c>
      <c r="N41" s="56"/>
      <c r="O41" s="46"/>
      <c r="P41" s="57"/>
      <c r="AF41" s="17">
        <f t="shared" si="0"/>
        <v>46210</v>
      </c>
    </row>
    <row r="42" spans="1:32" ht="25.5" customHeight="1" x14ac:dyDescent="0.3">
      <c r="A42" s="59"/>
      <c r="B42" s="49" t="s">
        <v>48</v>
      </c>
      <c r="C42" s="49" t="s">
        <v>20</v>
      </c>
      <c r="D42" s="50" t="s">
        <v>43</v>
      </c>
      <c r="E42" s="51" t="s">
        <v>22</v>
      </c>
      <c r="F42" s="52">
        <f>H41</f>
        <v>29057</v>
      </c>
      <c r="G42" s="60"/>
      <c r="H42" s="52">
        <f t="shared" si="8"/>
        <v>4834</v>
      </c>
      <c r="I42" s="50"/>
      <c r="J42" s="39" t="s">
        <v>23</v>
      </c>
      <c r="K42" s="75">
        <v>24200</v>
      </c>
      <c r="L42" s="56">
        <v>6</v>
      </c>
      <c r="M42" s="56">
        <v>17</v>
      </c>
      <c r="N42" s="56"/>
      <c r="O42" s="46"/>
      <c r="P42" s="57"/>
      <c r="AF42" s="17">
        <f t="shared" si="0"/>
        <v>46210</v>
      </c>
    </row>
    <row r="43" spans="1:32" ht="25.5" customHeight="1" x14ac:dyDescent="0.3">
      <c r="A43" s="59"/>
      <c r="B43" s="49"/>
      <c r="C43" s="49"/>
      <c r="D43" s="50" t="s">
        <v>37</v>
      </c>
      <c r="E43" s="51" t="s">
        <v>38</v>
      </c>
      <c r="F43" s="52">
        <f>H30</f>
        <v>2128</v>
      </c>
      <c r="G43" s="60"/>
      <c r="H43" s="52">
        <f>F43+G43-K43-L43-M43-K44-L44-M44</f>
        <v>1028</v>
      </c>
      <c r="I43" s="50"/>
      <c r="J43" s="39" t="s">
        <v>39</v>
      </c>
      <c r="K43" s="74"/>
      <c r="L43" s="56"/>
      <c r="M43" s="56"/>
      <c r="N43" s="49"/>
      <c r="O43" s="46"/>
      <c r="P43" s="57"/>
      <c r="AF43" s="17">
        <f t="shared" si="0"/>
        <v>46210</v>
      </c>
    </row>
    <row r="44" spans="1:32" ht="25.5" customHeight="1" x14ac:dyDescent="0.3">
      <c r="A44" s="59"/>
      <c r="B44" s="49"/>
      <c r="C44" s="49"/>
      <c r="D44" s="50"/>
      <c r="E44" s="51"/>
      <c r="F44" s="52"/>
      <c r="G44" s="60"/>
      <c r="H44" s="52"/>
      <c r="I44" s="50"/>
      <c r="J44" s="39" t="s">
        <v>40</v>
      </c>
      <c r="K44" s="40">
        <v>1100</v>
      </c>
      <c r="L44" s="56"/>
      <c r="M44" s="56"/>
      <c r="N44" s="49"/>
      <c r="O44" s="46" t="s">
        <v>49</v>
      </c>
      <c r="P44" s="57"/>
      <c r="AF44" s="17">
        <f t="shared" si="0"/>
        <v>46210</v>
      </c>
    </row>
    <row r="45" spans="1:32" ht="25.5" customHeight="1" x14ac:dyDescent="0.3">
      <c r="A45" s="59"/>
      <c r="B45" s="49"/>
      <c r="C45" s="49"/>
      <c r="D45" s="50"/>
      <c r="E45" s="51"/>
      <c r="F45" s="52"/>
      <c r="G45" s="60"/>
      <c r="H45" s="52"/>
      <c r="I45" s="50"/>
      <c r="J45" s="39" t="s">
        <v>50</v>
      </c>
      <c r="K45" s="74">
        <v>4880</v>
      </c>
      <c r="L45" s="56"/>
      <c r="M45" s="56"/>
      <c r="N45" s="49"/>
      <c r="O45" s="46"/>
      <c r="P45" s="57"/>
      <c r="AF45" s="17">
        <f t="shared" si="0"/>
        <v>46210</v>
      </c>
    </row>
    <row r="46" spans="1:32" ht="25.5" customHeight="1" x14ac:dyDescent="0.3">
      <c r="A46" s="59"/>
      <c r="B46" s="49"/>
      <c r="C46" s="49"/>
      <c r="D46" s="50"/>
      <c r="E46" s="51"/>
      <c r="F46" s="52"/>
      <c r="G46" s="60"/>
      <c r="H46" s="52"/>
      <c r="I46" s="50"/>
      <c r="J46" s="76"/>
      <c r="K46" s="74"/>
      <c r="L46" s="56"/>
      <c r="M46" s="56"/>
      <c r="N46" s="49"/>
      <c r="O46" s="46"/>
      <c r="P46" s="57"/>
    </row>
    <row r="47" spans="1:32" ht="25.5" customHeight="1" x14ac:dyDescent="0.3">
      <c r="A47" s="59">
        <v>46211</v>
      </c>
      <c r="B47" s="49" t="s">
        <v>19</v>
      </c>
      <c r="C47" s="49" t="s">
        <v>28</v>
      </c>
      <c r="D47" s="50" t="s">
        <v>44</v>
      </c>
      <c r="E47" s="51" t="s">
        <v>45</v>
      </c>
      <c r="F47" s="52">
        <f>H40</f>
        <v>24740</v>
      </c>
      <c r="G47" s="60"/>
      <c r="H47" s="52">
        <f t="shared" ref="H47:H48" si="9">F47+G47-K47-L47-M47</f>
        <v>6265</v>
      </c>
      <c r="I47" s="50"/>
      <c r="J47" s="39" t="s">
        <v>46</v>
      </c>
      <c r="K47" s="75">
        <v>18450</v>
      </c>
      <c r="L47" s="56">
        <v>15</v>
      </c>
      <c r="M47" s="56">
        <v>10</v>
      </c>
      <c r="N47" s="56"/>
      <c r="O47" s="46">
        <f>(L47+M47)/(K47+L47+M47)*100</f>
        <v>0.13531799729364005</v>
      </c>
      <c r="P47" s="57">
        <f>L47/K47*100</f>
        <v>8.1300813008130079E-2</v>
      </c>
      <c r="Q47" s="26">
        <v>42982</v>
      </c>
      <c r="R47" s="25" t="s">
        <v>23</v>
      </c>
      <c r="S47" s="27">
        <f>14120+4300+23200</f>
        <v>41620</v>
      </c>
      <c r="AF47" s="17">
        <f>+IF(A47&lt;&gt;0,A47,IF(AND(A47="",AE47=1),"",AF45))</f>
        <v>46211</v>
      </c>
    </row>
    <row r="48" spans="1:32" ht="25.5" customHeight="1" x14ac:dyDescent="0.3">
      <c r="A48" s="59"/>
      <c r="B48" s="49" t="s">
        <v>27</v>
      </c>
      <c r="C48" s="49" t="s">
        <v>47</v>
      </c>
      <c r="D48" s="50" t="s">
        <v>44</v>
      </c>
      <c r="E48" s="51" t="s">
        <v>45</v>
      </c>
      <c r="F48" s="52">
        <f>H47</f>
        <v>6265</v>
      </c>
      <c r="G48" s="60"/>
      <c r="H48" s="52">
        <f t="shared" si="9"/>
        <v>-15401</v>
      </c>
      <c r="I48" s="50"/>
      <c r="J48" s="39" t="s">
        <v>46</v>
      </c>
      <c r="K48" s="75">
        <v>21645</v>
      </c>
      <c r="L48" s="56">
        <v>10</v>
      </c>
      <c r="M48" s="56">
        <v>11</v>
      </c>
      <c r="N48" s="56"/>
      <c r="O48" s="46"/>
      <c r="P48" s="57"/>
    </row>
    <row r="49" spans="1:32" ht="25.5" customHeight="1" x14ac:dyDescent="0.3">
      <c r="A49" s="59"/>
      <c r="B49" s="49"/>
      <c r="C49" s="49"/>
      <c r="D49" s="50" t="s">
        <v>37</v>
      </c>
      <c r="E49" s="51" t="s">
        <v>38</v>
      </c>
      <c r="F49" s="52">
        <f>H43</f>
        <v>1028</v>
      </c>
      <c r="G49" s="60"/>
      <c r="H49" s="52">
        <f>F49+G49-K49-L49-M49-K50-L50-M50</f>
        <v>0</v>
      </c>
      <c r="I49" s="50"/>
      <c r="J49" s="39" t="s">
        <v>39</v>
      </c>
      <c r="K49" s="40">
        <v>715</v>
      </c>
      <c r="L49" s="56">
        <v>93</v>
      </c>
      <c r="M49" s="56"/>
      <c r="N49" s="56"/>
      <c r="O49" s="46"/>
      <c r="P49" s="57"/>
      <c r="AF49" s="17">
        <f>+IF(A49&lt;&gt;0,A49,IF(AND(A49="",AE49=1),"",AF47))</f>
        <v>46211</v>
      </c>
    </row>
    <row r="50" spans="1:32" ht="25.5" customHeight="1" x14ac:dyDescent="0.3">
      <c r="A50" s="59"/>
      <c r="B50" s="49"/>
      <c r="C50" s="49"/>
      <c r="D50" s="50"/>
      <c r="E50" s="51"/>
      <c r="F50" s="52"/>
      <c r="G50" s="60"/>
      <c r="H50" s="52"/>
      <c r="I50" s="50"/>
      <c r="J50" s="39" t="s">
        <v>40</v>
      </c>
      <c r="K50" s="77">
        <v>220</v>
      </c>
      <c r="L50" s="56"/>
      <c r="M50" s="56"/>
      <c r="N50" s="56"/>
      <c r="O50" s="46"/>
      <c r="P50" s="57"/>
      <c r="AF50" s="17">
        <f t="shared" si="0"/>
        <v>46211</v>
      </c>
    </row>
    <row r="51" spans="1:32" ht="25.5" customHeight="1" x14ac:dyDescent="0.3">
      <c r="A51" s="59"/>
      <c r="B51" s="49"/>
      <c r="C51" s="49"/>
      <c r="D51" s="50" t="s">
        <v>43</v>
      </c>
      <c r="E51" s="51" t="s">
        <v>22</v>
      </c>
      <c r="F51" s="52">
        <f>H42</f>
        <v>4834</v>
      </c>
      <c r="G51" s="60"/>
      <c r="H51" s="52">
        <f t="shared" ref="H51" si="10">F51+G51-K51-L51-M51</f>
        <v>2734</v>
      </c>
      <c r="I51" s="50"/>
      <c r="J51" s="39" t="s">
        <v>23</v>
      </c>
      <c r="K51" s="74">
        <v>2100</v>
      </c>
      <c r="L51" s="56"/>
      <c r="M51" s="56"/>
      <c r="N51" s="56"/>
      <c r="O51" s="46"/>
      <c r="P51" s="57"/>
      <c r="AF51" s="17">
        <f t="shared" si="0"/>
        <v>46211</v>
      </c>
    </row>
    <row r="52" spans="1:32" ht="25.5" customHeight="1" x14ac:dyDescent="0.3">
      <c r="A52" s="59"/>
      <c r="B52" s="49"/>
      <c r="C52" s="49"/>
      <c r="D52" s="50"/>
      <c r="E52" s="51"/>
      <c r="F52" s="52"/>
      <c r="G52" s="60"/>
      <c r="H52" s="52"/>
      <c r="I52" s="50"/>
      <c r="J52" s="37"/>
      <c r="K52" s="74"/>
      <c r="L52" s="56"/>
      <c r="M52" s="56"/>
      <c r="N52" s="56"/>
      <c r="O52" s="46"/>
      <c r="P52" s="57"/>
    </row>
    <row r="53" spans="1:32" ht="25.5" customHeight="1" x14ac:dyDescent="0.3">
      <c r="A53" s="59">
        <v>46212</v>
      </c>
      <c r="B53" s="49" t="s">
        <v>19</v>
      </c>
      <c r="C53" s="49" t="s">
        <v>28</v>
      </c>
      <c r="D53" s="50" t="s">
        <v>44</v>
      </c>
      <c r="E53" s="51" t="s">
        <v>45</v>
      </c>
      <c r="F53" s="52"/>
      <c r="G53" s="60">
        <v>21800</v>
      </c>
      <c r="H53" s="52">
        <f t="shared" ref="H53:H60" si="11">F53+G53-K53-L53-M53</f>
        <v>15530</v>
      </c>
      <c r="I53" s="50"/>
      <c r="J53" s="39" t="s">
        <v>46</v>
      </c>
      <c r="K53" s="74">
        <v>6260</v>
      </c>
      <c r="L53" s="56">
        <v>6</v>
      </c>
      <c r="M53" s="56">
        <v>4</v>
      </c>
      <c r="N53" s="56"/>
      <c r="O53" s="46"/>
      <c r="P53" s="57"/>
      <c r="AF53" s="17">
        <f>+IF(A53&lt;&gt;0,A53,IF(AND(A53="",AE53=1),"",AF51))</f>
        <v>46212</v>
      </c>
    </row>
    <row r="54" spans="1:32" ht="25.5" customHeight="1" x14ac:dyDescent="0.3">
      <c r="A54" s="59"/>
      <c r="B54" s="49"/>
      <c r="C54" s="49"/>
      <c r="D54" s="50" t="s">
        <v>43</v>
      </c>
      <c r="E54" s="51" t="s">
        <v>22</v>
      </c>
      <c r="F54" s="52">
        <f>H51</f>
        <v>2734</v>
      </c>
      <c r="G54" s="60">
        <v>46100</v>
      </c>
      <c r="H54" s="52">
        <f t="shared" si="11"/>
        <v>25467</v>
      </c>
      <c r="I54" s="50"/>
      <c r="J54" s="39" t="s">
        <v>23</v>
      </c>
      <c r="K54" s="74">
        <f>18000+3300+2050</f>
        <v>23350</v>
      </c>
      <c r="L54" s="56">
        <f>10+2</f>
        <v>12</v>
      </c>
      <c r="M54" s="56">
        <v>5</v>
      </c>
      <c r="N54" s="56"/>
      <c r="O54" s="46"/>
      <c r="P54" s="57"/>
      <c r="AF54" s="17">
        <f t="shared" si="0"/>
        <v>46212</v>
      </c>
    </row>
    <row r="55" spans="1:32" ht="25.5" customHeight="1" x14ac:dyDescent="0.3">
      <c r="A55" s="59"/>
      <c r="B55" s="49"/>
      <c r="C55" s="49"/>
      <c r="D55" s="50" t="s">
        <v>29</v>
      </c>
      <c r="E55" s="51" t="s">
        <v>30</v>
      </c>
      <c r="F55" s="52">
        <v>0</v>
      </c>
      <c r="G55" s="60">
        <v>51050</v>
      </c>
      <c r="H55" s="52">
        <f t="shared" si="11"/>
        <v>48050</v>
      </c>
      <c r="I55" s="50"/>
      <c r="J55" s="39" t="s">
        <v>31</v>
      </c>
      <c r="K55" s="77">
        <v>3000</v>
      </c>
      <c r="L55" s="56"/>
      <c r="M55" s="56"/>
      <c r="N55" s="56"/>
      <c r="O55" s="46"/>
      <c r="P55" s="57"/>
      <c r="AF55" s="17">
        <f t="shared" si="0"/>
        <v>46212</v>
      </c>
    </row>
    <row r="56" spans="1:32" s="81" customFormat="1" ht="25.5" customHeight="1" x14ac:dyDescent="0.3">
      <c r="A56" s="59"/>
      <c r="B56" s="49" t="s">
        <v>27</v>
      </c>
      <c r="C56" s="49" t="s">
        <v>47</v>
      </c>
      <c r="D56" s="50" t="s">
        <v>43</v>
      </c>
      <c r="E56" s="51" t="s">
        <v>22</v>
      </c>
      <c r="F56" s="52">
        <f>H54</f>
        <v>25467</v>
      </c>
      <c r="G56" s="60"/>
      <c r="H56" s="52">
        <f t="shared" si="11"/>
        <v>13147</v>
      </c>
      <c r="I56" s="50"/>
      <c r="J56" s="39" t="s">
        <v>23</v>
      </c>
      <c r="K56" s="77">
        <v>12315</v>
      </c>
      <c r="L56" s="56">
        <v>2</v>
      </c>
      <c r="M56" s="56">
        <v>3</v>
      </c>
      <c r="N56" s="56"/>
      <c r="O56" s="78"/>
      <c r="P56" s="79"/>
      <c r="Q56" s="80"/>
      <c r="S56" s="82"/>
      <c r="T56" s="83"/>
      <c r="U56" s="83"/>
      <c r="V56" s="84"/>
      <c r="W56" s="85"/>
      <c r="X56" s="84"/>
      <c r="AF56" s="17">
        <f t="shared" si="0"/>
        <v>46212</v>
      </c>
    </row>
    <row r="57" spans="1:32" ht="25.5" customHeight="1" x14ac:dyDescent="0.3">
      <c r="A57" s="59"/>
      <c r="B57" s="49"/>
      <c r="C57" s="49"/>
      <c r="D57" s="50" t="s">
        <v>29</v>
      </c>
      <c r="E57" s="51" t="s">
        <v>30</v>
      </c>
      <c r="F57" s="52">
        <f>H55</f>
        <v>48050</v>
      </c>
      <c r="G57" s="60"/>
      <c r="H57" s="52">
        <f t="shared" si="11"/>
        <v>36060</v>
      </c>
      <c r="I57" s="50"/>
      <c r="J57" s="39" t="s">
        <v>31</v>
      </c>
      <c r="K57" s="86">
        <v>11990</v>
      </c>
      <c r="L57" s="56"/>
      <c r="M57" s="56"/>
      <c r="N57" s="56"/>
      <c r="O57" s="46"/>
      <c r="P57" s="57"/>
      <c r="AF57" s="17">
        <f t="shared" si="0"/>
        <v>46212</v>
      </c>
    </row>
    <row r="58" spans="1:32" ht="25.5" customHeight="1" x14ac:dyDescent="0.3">
      <c r="A58" s="59"/>
      <c r="B58" s="49" t="s">
        <v>48</v>
      </c>
      <c r="C58" s="49" t="s">
        <v>20</v>
      </c>
      <c r="D58" s="50" t="s">
        <v>43</v>
      </c>
      <c r="E58" s="51" t="s">
        <v>22</v>
      </c>
      <c r="F58" s="52">
        <f>H56</f>
        <v>13147</v>
      </c>
      <c r="G58" s="60"/>
      <c r="H58" s="52">
        <f t="shared" si="11"/>
        <v>13147</v>
      </c>
      <c r="I58" s="50"/>
      <c r="J58" s="39" t="s">
        <v>23</v>
      </c>
      <c r="K58" s="74"/>
      <c r="L58" s="65"/>
      <c r="M58" s="65"/>
      <c r="N58" s="49"/>
      <c r="O58" s="46" t="e">
        <f>(L58+M58)/(K58+L58+M58)*100</f>
        <v>#DIV/0!</v>
      </c>
      <c r="P58" s="57" t="e">
        <f>L58/K58*100</f>
        <v>#DIV/0!</v>
      </c>
      <c r="R58" s="25" t="s">
        <v>41</v>
      </c>
      <c r="S58" s="27">
        <f>13500+8550+11800+5650+9200</f>
        <v>48700</v>
      </c>
      <c r="AF58" s="17">
        <f t="shared" si="0"/>
        <v>46212</v>
      </c>
    </row>
    <row r="59" spans="1:32" ht="25.5" customHeight="1" x14ac:dyDescent="0.3">
      <c r="A59" s="59"/>
      <c r="B59" s="49"/>
      <c r="C59" s="49"/>
      <c r="D59" s="50" t="s">
        <v>29</v>
      </c>
      <c r="E59" s="51" t="s">
        <v>30</v>
      </c>
      <c r="F59" s="52">
        <f>H57</f>
        <v>36060</v>
      </c>
      <c r="G59" s="60"/>
      <c r="H59" s="52">
        <f t="shared" si="11"/>
        <v>19631</v>
      </c>
      <c r="I59" s="50"/>
      <c r="J59" s="39" t="s">
        <v>31</v>
      </c>
      <c r="K59" s="74">
        <v>16420</v>
      </c>
      <c r="L59" s="65">
        <v>6</v>
      </c>
      <c r="M59" s="65">
        <v>3</v>
      </c>
      <c r="N59" s="49"/>
      <c r="O59" s="46">
        <f>(L59+M59)/(K59+L59+M59)*100</f>
        <v>5.4781179621401173E-2</v>
      </c>
      <c r="P59" s="57">
        <f>L59/K59*100</f>
        <v>3.6540803897685749E-2</v>
      </c>
      <c r="R59" s="25" t="s">
        <v>41</v>
      </c>
      <c r="S59" s="27">
        <f>13500+8550+11800+5650+9200</f>
        <v>48700</v>
      </c>
      <c r="AF59" s="17">
        <f t="shared" si="0"/>
        <v>46212</v>
      </c>
    </row>
    <row r="60" spans="1:32" ht="25.5" customHeight="1" x14ac:dyDescent="0.3">
      <c r="A60" s="59"/>
      <c r="B60" s="49"/>
      <c r="C60" s="49"/>
      <c r="D60" s="50" t="s">
        <v>51</v>
      </c>
      <c r="E60" s="51" t="s">
        <v>52</v>
      </c>
      <c r="F60" s="52"/>
      <c r="G60" s="60">
        <v>29000</v>
      </c>
      <c r="H60" s="52">
        <f t="shared" si="11"/>
        <v>27528</v>
      </c>
      <c r="I60" s="50"/>
      <c r="J60" s="37" t="s">
        <v>53</v>
      </c>
      <c r="K60" s="75">
        <v>1470</v>
      </c>
      <c r="L60" s="65">
        <v>2</v>
      </c>
      <c r="M60" s="65"/>
      <c r="N60" s="49"/>
      <c r="O60" s="46"/>
      <c r="P60" s="57"/>
      <c r="AF60" s="17">
        <f t="shared" si="0"/>
        <v>46212</v>
      </c>
    </row>
    <row r="61" spans="1:32" ht="25.5" customHeight="1" x14ac:dyDescent="0.3">
      <c r="A61" s="59"/>
      <c r="B61" s="49"/>
      <c r="C61" s="49"/>
      <c r="D61" s="50"/>
      <c r="E61" s="51"/>
      <c r="F61" s="52"/>
      <c r="G61" s="60"/>
      <c r="H61" s="52"/>
      <c r="I61" s="50"/>
      <c r="J61" s="37"/>
      <c r="K61" s="75"/>
      <c r="L61" s="65"/>
      <c r="M61" s="65"/>
      <c r="N61" s="49"/>
      <c r="O61" s="46"/>
      <c r="P61" s="57"/>
      <c r="AF61" s="17">
        <f t="shared" si="0"/>
        <v>46212</v>
      </c>
    </row>
    <row r="62" spans="1:32" ht="25.5" customHeight="1" x14ac:dyDescent="0.3">
      <c r="A62" s="59">
        <v>46213</v>
      </c>
      <c r="B62" s="49" t="s">
        <v>19</v>
      </c>
      <c r="C62" s="49" t="s">
        <v>28</v>
      </c>
      <c r="D62" s="50" t="s">
        <v>51</v>
      </c>
      <c r="E62" s="51" t="s">
        <v>52</v>
      </c>
      <c r="F62" s="52">
        <f>H60</f>
        <v>27528</v>
      </c>
      <c r="G62" s="60"/>
      <c r="H62" s="52">
        <f t="shared" ref="H62:H66" si="12">F62+G62-K62-L62-M62</f>
        <v>3303</v>
      </c>
      <c r="I62" s="50"/>
      <c r="J62" s="37" t="s">
        <v>53</v>
      </c>
      <c r="K62" s="74">
        <v>24200</v>
      </c>
      <c r="L62" s="65">
        <v>20</v>
      </c>
      <c r="M62" s="65">
        <v>5</v>
      </c>
      <c r="N62" s="49"/>
      <c r="O62" s="87"/>
      <c r="P62" s="57"/>
      <c r="AF62" s="17">
        <f t="shared" si="0"/>
        <v>46213</v>
      </c>
    </row>
    <row r="63" spans="1:32" ht="25.5" customHeight="1" x14ac:dyDescent="0.3">
      <c r="A63" s="59"/>
      <c r="B63" s="49"/>
      <c r="C63" s="49"/>
      <c r="D63" s="50" t="s">
        <v>29</v>
      </c>
      <c r="E63" s="51" t="s">
        <v>30</v>
      </c>
      <c r="F63" s="52">
        <f>H59</f>
        <v>19631</v>
      </c>
      <c r="G63" s="60"/>
      <c r="H63" s="52">
        <f t="shared" si="12"/>
        <v>11578</v>
      </c>
      <c r="I63" s="50"/>
      <c r="J63" s="39" t="s">
        <v>31</v>
      </c>
      <c r="K63" s="86">
        <f>3000+5050</f>
        <v>8050</v>
      </c>
      <c r="L63" s="65">
        <v>3</v>
      </c>
      <c r="M63" s="65"/>
      <c r="N63" s="49"/>
      <c r="O63" s="46">
        <f t="shared" ref="O63:O81" si="13">(L63+M63)/(K63+L63+M63)*100</f>
        <v>3.7253197566124427E-2</v>
      </c>
      <c r="P63" s="57">
        <f>L63/K63*100</f>
        <v>3.7267080745341616E-2</v>
      </c>
      <c r="R63" s="25" t="s">
        <v>41</v>
      </c>
      <c r="S63" s="27">
        <f>27000+2800+23200</f>
        <v>53000</v>
      </c>
      <c r="AF63" s="17">
        <f t="shared" si="0"/>
        <v>46213</v>
      </c>
    </row>
    <row r="64" spans="1:32" ht="25.5" customHeight="1" x14ac:dyDescent="0.3">
      <c r="A64" s="59"/>
      <c r="B64" s="49"/>
      <c r="C64" s="49"/>
      <c r="D64" s="50" t="s">
        <v>43</v>
      </c>
      <c r="E64" s="51" t="s">
        <v>22</v>
      </c>
      <c r="F64" s="52">
        <f>H58</f>
        <v>13147</v>
      </c>
      <c r="G64" s="60"/>
      <c r="H64" s="52">
        <f t="shared" si="12"/>
        <v>12847</v>
      </c>
      <c r="I64" s="50"/>
      <c r="J64" s="39" t="s">
        <v>23</v>
      </c>
      <c r="K64" s="40">
        <v>300</v>
      </c>
      <c r="L64" s="65"/>
      <c r="M64" s="65"/>
      <c r="N64" s="49"/>
      <c r="O64" s="46"/>
      <c r="P64" s="57"/>
      <c r="AF64" s="17">
        <f t="shared" si="0"/>
        <v>46213</v>
      </c>
    </row>
    <row r="65" spans="1:32" ht="25.5" customHeight="1" x14ac:dyDescent="0.3">
      <c r="A65" s="59"/>
      <c r="B65" s="49" t="s">
        <v>27</v>
      </c>
      <c r="C65" s="49" t="s">
        <v>47</v>
      </c>
      <c r="D65" s="50" t="s">
        <v>51</v>
      </c>
      <c r="E65" s="51" t="s">
        <v>52</v>
      </c>
      <c r="F65" s="52">
        <f>H62</f>
        <v>3303</v>
      </c>
      <c r="G65" s="60">
        <v>67000</v>
      </c>
      <c r="H65" s="52">
        <f t="shared" si="12"/>
        <v>46086</v>
      </c>
      <c r="I65" s="50"/>
      <c r="J65" s="37" t="s">
        <v>53</v>
      </c>
      <c r="K65" s="74">
        <v>24210</v>
      </c>
      <c r="L65" s="56">
        <v>3</v>
      </c>
      <c r="M65" s="65">
        <v>4</v>
      </c>
      <c r="N65" s="49"/>
      <c r="O65" s="46">
        <f t="shared" si="13"/>
        <v>2.8905314448527893E-2</v>
      </c>
      <c r="P65" s="57">
        <f>L65/K65*100</f>
        <v>1.2391573729863693E-2</v>
      </c>
      <c r="Q65" s="26">
        <v>42984</v>
      </c>
      <c r="R65" s="25" t="s">
        <v>23</v>
      </c>
      <c r="S65" s="27">
        <f>27600+27500</f>
        <v>55100</v>
      </c>
      <c r="X65" s="29">
        <f>T65/S65*100</f>
        <v>0</v>
      </c>
      <c r="AF65" s="17">
        <f t="shared" si="0"/>
        <v>46213</v>
      </c>
    </row>
    <row r="66" spans="1:32" ht="25.5" customHeight="1" x14ac:dyDescent="0.3">
      <c r="A66" s="59"/>
      <c r="B66" s="49" t="s">
        <v>48</v>
      </c>
      <c r="C66" s="49" t="s">
        <v>20</v>
      </c>
      <c r="D66" s="50" t="s">
        <v>51</v>
      </c>
      <c r="E66" s="51" t="s">
        <v>52</v>
      </c>
      <c r="F66" s="52">
        <f>H65</f>
        <v>46086</v>
      </c>
      <c r="G66" s="60"/>
      <c r="H66" s="52">
        <f t="shared" si="12"/>
        <v>21871</v>
      </c>
      <c r="I66" s="50"/>
      <c r="J66" s="37" t="s">
        <v>53</v>
      </c>
      <c r="K66" s="74">
        <v>24200</v>
      </c>
      <c r="L66" s="56">
        <v>8</v>
      </c>
      <c r="M66" s="65">
        <v>7</v>
      </c>
      <c r="N66" s="49"/>
      <c r="O66" s="46"/>
      <c r="P66" s="57"/>
    </row>
    <row r="67" spans="1:32" ht="25.5" customHeight="1" x14ac:dyDescent="0.3">
      <c r="A67" s="59"/>
      <c r="B67" s="49"/>
      <c r="C67" s="49"/>
      <c r="D67" s="50"/>
      <c r="E67" s="51"/>
      <c r="F67" s="52"/>
      <c r="G67" s="60"/>
      <c r="H67" s="52"/>
      <c r="I67" s="50"/>
      <c r="J67" s="39"/>
      <c r="K67" s="88"/>
      <c r="L67" s="56"/>
      <c r="M67" s="65"/>
      <c r="N67" s="49"/>
      <c r="O67" s="46"/>
      <c r="P67" s="57"/>
      <c r="AF67" s="17">
        <f>+IF(A67&lt;&gt;0,A67,IF(AND(A67="",AE67=1),"",AF65))</f>
        <v>46213</v>
      </c>
    </row>
    <row r="68" spans="1:32" ht="25.5" customHeight="1" x14ac:dyDescent="0.3">
      <c r="A68" s="59">
        <v>46214</v>
      </c>
      <c r="B68" s="49" t="s">
        <v>19</v>
      </c>
      <c r="C68" s="49" t="s">
        <v>28</v>
      </c>
      <c r="D68" s="50" t="s">
        <v>51</v>
      </c>
      <c r="E68" s="51" t="s">
        <v>52</v>
      </c>
      <c r="F68" s="52">
        <f>H66</f>
        <v>21871</v>
      </c>
      <c r="G68" s="60">
        <v>33500</v>
      </c>
      <c r="H68" s="52">
        <f t="shared" ref="H68:H76" si="14">F68+G68-K68-L68-M68</f>
        <v>31151</v>
      </c>
      <c r="I68" s="50"/>
      <c r="J68" s="37" t="s">
        <v>53</v>
      </c>
      <c r="K68" s="77">
        <v>24200</v>
      </c>
      <c r="L68" s="56">
        <v>15</v>
      </c>
      <c r="M68" s="65">
        <v>5</v>
      </c>
      <c r="N68" s="49"/>
      <c r="O68" s="46"/>
      <c r="P68" s="57"/>
      <c r="AF68" s="17">
        <f t="shared" ref="AF68:AF127" si="15">+IF(A68&lt;&gt;0,A68,IF(AND(A68="",AE68=1),"",AF67))</f>
        <v>46214</v>
      </c>
    </row>
    <row r="69" spans="1:32" ht="22.5" customHeight="1" x14ac:dyDescent="0.3">
      <c r="A69" s="59"/>
      <c r="B69" s="49"/>
      <c r="C69" s="49"/>
      <c r="D69" s="50" t="s">
        <v>29</v>
      </c>
      <c r="E69" s="51" t="s">
        <v>30</v>
      </c>
      <c r="F69" s="52">
        <f>H63</f>
        <v>11578</v>
      </c>
      <c r="G69" s="60"/>
      <c r="H69" s="52">
        <f t="shared" si="14"/>
        <v>1519</v>
      </c>
      <c r="I69" s="50"/>
      <c r="J69" s="39" t="s">
        <v>31</v>
      </c>
      <c r="K69" s="40">
        <f>6700+3350</f>
        <v>10050</v>
      </c>
      <c r="L69" s="56">
        <v>9</v>
      </c>
      <c r="M69" s="56"/>
      <c r="N69" s="49"/>
      <c r="O69" s="46">
        <f t="shared" si="13"/>
        <v>8.947211452430659E-2</v>
      </c>
      <c r="P69" s="57">
        <f t="shared" ref="P69:P88" si="16">L69/K69*100</f>
        <v>8.9552238805970144E-2</v>
      </c>
      <c r="AF69" s="17">
        <f t="shared" si="15"/>
        <v>46214</v>
      </c>
    </row>
    <row r="70" spans="1:32" ht="22.5" customHeight="1" x14ac:dyDescent="0.3">
      <c r="A70" s="59"/>
      <c r="B70" s="49" t="s">
        <v>27</v>
      </c>
      <c r="C70" s="49" t="s">
        <v>47</v>
      </c>
      <c r="D70" s="50" t="s">
        <v>51</v>
      </c>
      <c r="E70" s="51" t="s">
        <v>52</v>
      </c>
      <c r="F70" s="52">
        <f>H68</f>
        <v>31151</v>
      </c>
      <c r="G70" s="60"/>
      <c r="H70" s="52">
        <f t="shared" si="14"/>
        <v>6765</v>
      </c>
      <c r="I70" s="50"/>
      <c r="J70" s="37" t="s">
        <v>53</v>
      </c>
      <c r="K70" s="40">
        <v>24365</v>
      </c>
      <c r="L70" s="56">
        <v>10</v>
      </c>
      <c r="M70" s="56">
        <v>11</v>
      </c>
      <c r="N70" s="49" t="s">
        <v>54</v>
      </c>
      <c r="O70" s="46">
        <f t="shared" si="13"/>
        <v>8.611498400721726E-2</v>
      </c>
      <c r="P70" s="57">
        <f t="shared" si="16"/>
        <v>4.1042478965729531E-2</v>
      </c>
      <c r="AF70" s="17">
        <f t="shared" si="15"/>
        <v>46214</v>
      </c>
    </row>
    <row r="71" spans="1:32" ht="22.5" customHeight="1" x14ac:dyDescent="0.3">
      <c r="A71" s="59">
        <v>46215</v>
      </c>
      <c r="B71" s="49" t="s">
        <v>19</v>
      </c>
      <c r="C71" s="49" t="s">
        <v>28</v>
      </c>
      <c r="D71" s="50" t="s">
        <v>51</v>
      </c>
      <c r="E71" s="51" t="s">
        <v>52</v>
      </c>
      <c r="F71" s="52">
        <f>H70</f>
        <v>6765</v>
      </c>
      <c r="G71" s="60">
        <v>16750</v>
      </c>
      <c r="H71" s="52">
        <f t="shared" si="14"/>
        <v>-705</v>
      </c>
      <c r="I71" s="50"/>
      <c r="J71" s="37" t="s">
        <v>53</v>
      </c>
      <c r="K71" s="74">
        <v>24200</v>
      </c>
      <c r="L71" s="56">
        <v>15</v>
      </c>
      <c r="M71" s="56">
        <v>5</v>
      </c>
      <c r="N71" s="49"/>
      <c r="O71" s="46">
        <f t="shared" si="13"/>
        <v>8.2576383154417829E-2</v>
      </c>
      <c r="P71" s="57">
        <f t="shared" si="16"/>
        <v>6.1983471074380167E-2</v>
      </c>
      <c r="AF71" s="17">
        <f t="shared" si="15"/>
        <v>46215</v>
      </c>
    </row>
    <row r="72" spans="1:32" ht="22.5" customHeight="1" x14ac:dyDescent="0.3">
      <c r="A72" s="59"/>
      <c r="B72" s="49"/>
      <c r="C72" s="49"/>
      <c r="D72" s="50" t="s">
        <v>55</v>
      </c>
      <c r="E72" s="51" t="s">
        <v>56</v>
      </c>
      <c r="F72" s="52"/>
      <c r="G72" s="60">
        <v>10070</v>
      </c>
      <c r="H72" s="52">
        <f t="shared" si="14"/>
        <v>4167</v>
      </c>
      <c r="I72" s="50"/>
      <c r="J72" s="72" t="s">
        <v>57</v>
      </c>
      <c r="K72" s="89">
        <v>5900</v>
      </c>
      <c r="L72" s="56">
        <v>3</v>
      </c>
      <c r="M72" s="56"/>
      <c r="N72" s="49"/>
      <c r="O72" s="46"/>
      <c r="P72" s="57"/>
      <c r="AF72" s="17">
        <f t="shared" si="15"/>
        <v>46215</v>
      </c>
    </row>
    <row r="73" spans="1:32" ht="26.25" customHeight="1" x14ac:dyDescent="0.3">
      <c r="A73" s="59"/>
      <c r="B73" s="49" t="s">
        <v>27</v>
      </c>
      <c r="C73" s="49" t="s">
        <v>20</v>
      </c>
      <c r="D73" s="50" t="s">
        <v>51</v>
      </c>
      <c r="E73" s="51" t="s">
        <v>52</v>
      </c>
      <c r="F73" s="52"/>
      <c r="G73" s="60"/>
      <c r="H73" s="52">
        <f t="shared" si="14"/>
        <v>-8002</v>
      </c>
      <c r="I73" s="50"/>
      <c r="J73" s="37" t="s">
        <v>53</v>
      </c>
      <c r="K73" s="74">
        <v>8000</v>
      </c>
      <c r="L73" s="56">
        <v>2</v>
      </c>
      <c r="M73" s="65"/>
      <c r="N73" s="90"/>
      <c r="O73" s="46">
        <f t="shared" si="13"/>
        <v>2.4993751562109475E-2</v>
      </c>
      <c r="P73" s="57">
        <f t="shared" si="16"/>
        <v>2.5000000000000001E-2</v>
      </c>
      <c r="AF73" s="17">
        <f t="shared" si="15"/>
        <v>46215</v>
      </c>
    </row>
    <row r="74" spans="1:32" ht="26.25" customHeight="1" x14ac:dyDescent="0.3">
      <c r="A74" s="59"/>
      <c r="B74" s="49"/>
      <c r="C74" s="49"/>
      <c r="D74" s="50" t="s">
        <v>58</v>
      </c>
      <c r="E74" s="51" t="s">
        <v>59</v>
      </c>
      <c r="F74" s="52"/>
      <c r="G74" s="60">
        <v>4500</v>
      </c>
      <c r="H74" s="52">
        <f t="shared" si="14"/>
        <v>133</v>
      </c>
      <c r="I74" s="50"/>
      <c r="J74" s="39" t="s">
        <v>60</v>
      </c>
      <c r="K74" s="91">
        <v>4350</v>
      </c>
      <c r="L74" s="56"/>
      <c r="M74" s="56">
        <v>17</v>
      </c>
      <c r="N74" s="92"/>
      <c r="O74" s="46">
        <f t="shared" si="13"/>
        <v>0.38928326081978476</v>
      </c>
      <c r="P74" s="57">
        <f t="shared" si="16"/>
        <v>0</v>
      </c>
      <c r="AF74" s="17">
        <f t="shared" si="15"/>
        <v>46215</v>
      </c>
    </row>
    <row r="75" spans="1:32" ht="26.25" customHeight="1" x14ac:dyDescent="0.3">
      <c r="A75" s="59"/>
      <c r="B75" s="49"/>
      <c r="C75" s="49"/>
      <c r="D75" s="50" t="s">
        <v>29</v>
      </c>
      <c r="E75" s="51" t="s">
        <v>30</v>
      </c>
      <c r="F75" s="52">
        <f>H69</f>
        <v>1519</v>
      </c>
      <c r="G75" s="60"/>
      <c r="H75" s="52">
        <f t="shared" si="14"/>
        <v>169</v>
      </c>
      <c r="I75" s="50"/>
      <c r="J75" s="39" t="s">
        <v>31</v>
      </c>
      <c r="K75" s="55">
        <v>1350</v>
      </c>
      <c r="L75" s="56"/>
      <c r="M75" s="56"/>
      <c r="N75" s="92"/>
      <c r="O75" s="46"/>
      <c r="P75" s="57">
        <f t="shared" si="16"/>
        <v>0</v>
      </c>
      <c r="AF75" s="17">
        <f t="shared" si="15"/>
        <v>46215</v>
      </c>
    </row>
    <row r="76" spans="1:32" ht="26.25" customHeight="1" x14ac:dyDescent="0.3">
      <c r="A76" s="59"/>
      <c r="B76" s="49"/>
      <c r="C76" s="49"/>
      <c r="D76" s="50" t="s">
        <v>55</v>
      </c>
      <c r="E76" s="51" t="s">
        <v>56</v>
      </c>
      <c r="F76" s="52">
        <f>H72</f>
        <v>4167</v>
      </c>
      <c r="G76" s="60"/>
      <c r="H76" s="52">
        <f t="shared" si="14"/>
        <v>2167</v>
      </c>
      <c r="I76" s="50"/>
      <c r="J76" s="72" t="s">
        <v>57</v>
      </c>
      <c r="K76" s="55">
        <v>2000</v>
      </c>
      <c r="L76" s="56"/>
      <c r="M76" s="56"/>
      <c r="N76" s="92"/>
      <c r="O76" s="46">
        <f t="shared" si="13"/>
        <v>0</v>
      </c>
      <c r="P76" s="57">
        <f t="shared" si="16"/>
        <v>0</v>
      </c>
      <c r="AF76" s="17">
        <f t="shared" si="15"/>
        <v>46215</v>
      </c>
    </row>
    <row r="77" spans="1:32" ht="26.25" customHeight="1" x14ac:dyDescent="0.3">
      <c r="A77" s="59"/>
      <c r="B77" s="49"/>
      <c r="C77" s="49"/>
      <c r="D77" s="50"/>
      <c r="E77" s="51"/>
      <c r="F77" s="52"/>
      <c r="G77" s="60"/>
      <c r="H77" s="52"/>
      <c r="I77" s="50"/>
      <c r="J77" s="39"/>
      <c r="K77" s="93"/>
      <c r="L77" s="56"/>
      <c r="M77" s="56"/>
      <c r="N77" s="92"/>
      <c r="O77" s="46" t="e">
        <f t="shared" si="13"/>
        <v>#DIV/0!</v>
      </c>
      <c r="P77" s="57" t="e">
        <f t="shared" si="16"/>
        <v>#DIV/0!</v>
      </c>
      <c r="AF77" s="17">
        <f t="shared" si="15"/>
        <v>46215</v>
      </c>
    </row>
    <row r="78" spans="1:32" ht="26.25" customHeight="1" x14ac:dyDescent="0.3">
      <c r="A78" s="59">
        <v>46216</v>
      </c>
      <c r="B78" s="49" t="s">
        <v>19</v>
      </c>
      <c r="C78" s="49" t="s">
        <v>20</v>
      </c>
      <c r="D78" s="50" t="s">
        <v>51</v>
      </c>
      <c r="E78" s="51" t="s">
        <v>52</v>
      </c>
      <c r="F78" s="52">
        <v>24093</v>
      </c>
      <c r="G78" s="60"/>
      <c r="H78" s="52">
        <f t="shared" ref="H78:H81" si="17">F78+G78-K78-L78-M78</f>
        <v>-201</v>
      </c>
      <c r="I78" s="50"/>
      <c r="J78" s="37" t="s">
        <v>53</v>
      </c>
      <c r="K78" s="93">
        <v>24270</v>
      </c>
      <c r="L78" s="56">
        <v>5</v>
      </c>
      <c r="M78" s="56">
        <v>19</v>
      </c>
      <c r="N78" s="92"/>
      <c r="O78" s="46">
        <f t="shared" si="13"/>
        <v>9.8789824648061242E-2</v>
      </c>
      <c r="P78" s="57">
        <f t="shared" si="16"/>
        <v>2.0601565718994644E-2</v>
      </c>
    </row>
    <row r="79" spans="1:32" ht="26.25" customHeight="1" x14ac:dyDescent="0.3">
      <c r="A79" s="59"/>
      <c r="B79" s="49"/>
      <c r="C79" s="49"/>
      <c r="D79" s="50" t="s">
        <v>58</v>
      </c>
      <c r="E79" s="51" t="s">
        <v>59</v>
      </c>
      <c r="F79" s="52"/>
      <c r="G79" s="60"/>
      <c r="H79" s="52">
        <f t="shared" si="17"/>
        <v>-120</v>
      </c>
      <c r="I79" s="50"/>
      <c r="J79" s="39" t="s">
        <v>60</v>
      </c>
      <c r="K79" s="94">
        <v>120</v>
      </c>
      <c r="L79" s="56"/>
      <c r="M79" s="56"/>
      <c r="N79" s="92" t="s">
        <v>61</v>
      </c>
      <c r="O79" s="46">
        <f t="shared" si="13"/>
        <v>0</v>
      </c>
      <c r="P79" s="57">
        <f t="shared" si="16"/>
        <v>0</v>
      </c>
      <c r="AF79" s="17">
        <f>+IF(A79&lt;&gt;0,A79,IF(AND(A79="",AE79=1),"",AF77))</f>
        <v>46215</v>
      </c>
    </row>
    <row r="80" spans="1:32" ht="26.25" customHeight="1" x14ac:dyDescent="0.3">
      <c r="A80" s="59"/>
      <c r="B80" s="49"/>
      <c r="C80" s="49"/>
      <c r="D80" s="50" t="s">
        <v>62</v>
      </c>
      <c r="E80" s="51" t="s">
        <v>63</v>
      </c>
      <c r="F80" s="52"/>
      <c r="G80" s="60">
        <v>17830</v>
      </c>
      <c r="H80" s="52">
        <f t="shared" si="17"/>
        <v>15628</v>
      </c>
      <c r="I80" s="50"/>
      <c r="J80" s="39" t="s">
        <v>64</v>
      </c>
      <c r="K80" s="94">
        <v>2200</v>
      </c>
      <c r="L80" s="56">
        <v>2</v>
      </c>
      <c r="M80" s="56"/>
      <c r="N80" s="92" t="s">
        <v>65</v>
      </c>
      <c r="O80" s="46">
        <f t="shared" si="13"/>
        <v>9.0826521344232511E-2</v>
      </c>
      <c r="P80" s="57">
        <f t="shared" si="16"/>
        <v>9.0909090909090912E-2</v>
      </c>
      <c r="AF80" s="17">
        <f t="shared" si="15"/>
        <v>46215</v>
      </c>
    </row>
    <row r="81" spans="1:32" ht="24.75" customHeight="1" x14ac:dyDescent="0.3">
      <c r="A81" s="59"/>
      <c r="B81" s="49"/>
      <c r="C81" s="49"/>
      <c r="D81" s="50" t="s">
        <v>55</v>
      </c>
      <c r="E81" s="51" t="s">
        <v>56</v>
      </c>
      <c r="F81" s="52">
        <f>H76</f>
        <v>2167</v>
      </c>
      <c r="G81" s="60"/>
      <c r="H81" s="52">
        <f t="shared" si="17"/>
        <v>17</v>
      </c>
      <c r="I81" s="50"/>
      <c r="J81" s="72" t="s">
        <v>57</v>
      </c>
      <c r="K81" s="77">
        <v>2150</v>
      </c>
      <c r="L81" s="56"/>
      <c r="M81" s="56"/>
      <c r="N81" s="56"/>
      <c r="O81" s="46">
        <f t="shared" si="13"/>
        <v>0</v>
      </c>
      <c r="P81" s="57">
        <f t="shared" si="16"/>
        <v>0</v>
      </c>
      <c r="R81" s="25" t="s">
        <v>41</v>
      </c>
      <c r="X81" s="29" t="e">
        <f>T81/S81*100</f>
        <v>#DIV/0!</v>
      </c>
      <c r="AF81" s="17">
        <f t="shared" si="15"/>
        <v>46215</v>
      </c>
    </row>
    <row r="82" spans="1:32" ht="24.75" customHeight="1" x14ac:dyDescent="0.3">
      <c r="A82" s="59"/>
      <c r="B82" s="49"/>
      <c r="C82" s="49"/>
      <c r="D82" s="50"/>
      <c r="E82" s="51"/>
      <c r="F82" s="52"/>
      <c r="G82" s="60"/>
      <c r="H82" s="52"/>
      <c r="I82" s="50"/>
      <c r="J82" s="39"/>
      <c r="K82" s="94"/>
      <c r="L82" s="56"/>
      <c r="M82" s="56"/>
      <c r="N82" s="56"/>
      <c r="O82" s="46"/>
      <c r="P82" s="57" t="e">
        <f t="shared" si="16"/>
        <v>#DIV/0!</v>
      </c>
      <c r="AF82" s="17">
        <f t="shared" si="15"/>
        <v>46215</v>
      </c>
    </row>
    <row r="83" spans="1:32" ht="24.75" customHeight="1" x14ac:dyDescent="0.3">
      <c r="A83" s="59"/>
      <c r="B83" s="49" t="s">
        <v>27</v>
      </c>
      <c r="C83" s="49" t="s">
        <v>20</v>
      </c>
      <c r="D83" s="50" t="s">
        <v>51</v>
      </c>
      <c r="E83" s="51" t="s">
        <v>52</v>
      </c>
      <c r="F83" s="52"/>
      <c r="G83" s="60"/>
      <c r="H83" s="52">
        <f t="shared" ref="H83:H86" si="18">F83+G83-K83-L83-M83</f>
        <v>-2420</v>
      </c>
      <c r="I83" s="50"/>
      <c r="J83" s="37" t="s">
        <v>53</v>
      </c>
      <c r="K83" s="88">
        <v>2420</v>
      </c>
      <c r="L83" s="56"/>
      <c r="M83" s="56"/>
      <c r="N83" s="56"/>
      <c r="O83" s="46"/>
      <c r="P83" s="57">
        <f t="shared" si="16"/>
        <v>0</v>
      </c>
      <c r="AF83" s="17">
        <f t="shared" si="15"/>
        <v>46215</v>
      </c>
    </row>
    <row r="84" spans="1:32" ht="24.75" customHeight="1" x14ac:dyDescent="0.3">
      <c r="A84" s="59"/>
      <c r="B84" s="49"/>
      <c r="C84" s="49"/>
      <c r="D84" s="50" t="s">
        <v>66</v>
      </c>
      <c r="E84" s="51" t="s">
        <v>67</v>
      </c>
      <c r="F84" s="52"/>
      <c r="G84" s="60">
        <v>5100</v>
      </c>
      <c r="H84" s="52">
        <f t="shared" si="18"/>
        <v>0</v>
      </c>
      <c r="I84" s="50"/>
      <c r="J84" s="76" t="s">
        <v>68</v>
      </c>
      <c r="K84" s="95">
        <v>5100</v>
      </c>
      <c r="L84" s="56"/>
      <c r="M84" s="56"/>
      <c r="N84" s="56"/>
      <c r="O84" s="56"/>
      <c r="P84" s="56">
        <f t="shared" si="16"/>
        <v>0</v>
      </c>
      <c r="AF84" s="17">
        <f t="shared" si="15"/>
        <v>46215</v>
      </c>
    </row>
    <row r="85" spans="1:32" ht="24.75" customHeight="1" x14ac:dyDescent="0.3">
      <c r="A85" s="59"/>
      <c r="B85" s="49"/>
      <c r="C85" s="49"/>
      <c r="D85" s="50" t="s">
        <v>43</v>
      </c>
      <c r="E85" s="51" t="s">
        <v>22</v>
      </c>
      <c r="F85" s="52">
        <v>12848</v>
      </c>
      <c r="G85" s="60"/>
      <c r="H85" s="52">
        <f t="shared" si="18"/>
        <v>4790</v>
      </c>
      <c r="I85" s="50"/>
      <c r="J85" s="39" t="s">
        <v>23</v>
      </c>
      <c r="K85" s="95">
        <v>8050</v>
      </c>
      <c r="L85" s="56">
        <v>5</v>
      </c>
      <c r="M85" s="56">
        <v>3</v>
      </c>
      <c r="N85" s="56"/>
      <c r="O85" s="46"/>
      <c r="P85" s="57">
        <f t="shared" si="16"/>
        <v>6.2111801242236024E-2</v>
      </c>
      <c r="AF85" s="17">
        <f>+IF(A85&lt;&gt;0,A85,IF(AND(A85="",AE85=1),"",AF84))</f>
        <v>46215</v>
      </c>
    </row>
    <row r="86" spans="1:32" ht="24.75" customHeight="1" x14ac:dyDescent="0.3">
      <c r="A86" s="59"/>
      <c r="B86" s="49"/>
      <c r="C86" s="49"/>
      <c r="D86" s="50" t="s">
        <v>62</v>
      </c>
      <c r="E86" s="51" t="s">
        <v>63</v>
      </c>
      <c r="F86" s="52">
        <f>H80</f>
        <v>15628</v>
      </c>
      <c r="G86" s="60"/>
      <c r="H86" s="52">
        <f t="shared" si="18"/>
        <v>13126</v>
      </c>
      <c r="I86" s="50"/>
      <c r="J86" s="39" t="s">
        <v>64</v>
      </c>
      <c r="K86" s="95">
        <v>2500</v>
      </c>
      <c r="L86" s="56">
        <v>2</v>
      </c>
      <c r="M86" s="56"/>
      <c r="N86" s="56"/>
      <c r="O86" s="46"/>
      <c r="P86" s="57">
        <f t="shared" si="16"/>
        <v>0.08</v>
      </c>
      <c r="AF86" s="17">
        <f>+IF(A86&lt;&gt;0,A86,IF(AND(A86="",AE86=1),"",AF84))</f>
        <v>46215</v>
      </c>
    </row>
    <row r="87" spans="1:32" ht="24.75" customHeight="1" x14ac:dyDescent="0.3">
      <c r="A87" s="59"/>
      <c r="B87" s="49"/>
      <c r="C87" s="49"/>
      <c r="D87" s="50"/>
      <c r="E87" s="51"/>
      <c r="F87" s="52"/>
      <c r="G87" s="60"/>
      <c r="H87" s="52"/>
      <c r="I87" s="50"/>
      <c r="J87" s="96"/>
      <c r="K87" s="77"/>
      <c r="L87" s="56"/>
      <c r="M87" s="56"/>
      <c r="N87" s="56"/>
      <c r="O87" s="46"/>
      <c r="P87" s="57" t="e">
        <f t="shared" si="16"/>
        <v>#DIV/0!</v>
      </c>
      <c r="AF87" s="17">
        <f t="shared" si="15"/>
        <v>46215</v>
      </c>
    </row>
    <row r="88" spans="1:32" ht="24.75" customHeight="1" x14ac:dyDescent="0.3">
      <c r="A88" s="59">
        <v>46217</v>
      </c>
      <c r="B88" s="49" t="s">
        <v>19</v>
      </c>
      <c r="C88" s="49" t="s">
        <v>20</v>
      </c>
      <c r="D88" s="50" t="s">
        <v>51</v>
      </c>
      <c r="E88" s="51" t="s">
        <v>52</v>
      </c>
      <c r="F88" s="52">
        <v>24093</v>
      </c>
      <c r="G88" s="60"/>
      <c r="H88" s="52">
        <f t="shared" ref="H88:H92" si="19">F88+G88-K88-L88-M88</f>
        <v>24093</v>
      </c>
      <c r="I88" s="50"/>
      <c r="J88" s="37" t="s">
        <v>53</v>
      </c>
      <c r="K88" s="77"/>
      <c r="L88" s="56"/>
      <c r="M88" s="56"/>
      <c r="N88" s="56"/>
      <c r="O88" s="46"/>
      <c r="P88" s="57" t="e">
        <f t="shared" si="16"/>
        <v>#DIV/0!</v>
      </c>
      <c r="AF88" s="17">
        <f t="shared" si="15"/>
        <v>46217</v>
      </c>
    </row>
    <row r="89" spans="1:32" ht="24.75" customHeight="1" x14ac:dyDescent="0.3">
      <c r="A89" s="59"/>
      <c r="B89" s="49"/>
      <c r="C89" s="49"/>
      <c r="D89" s="50" t="s">
        <v>29</v>
      </c>
      <c r="E89" s="51" t="s">
        <v>30</v>
      </c>
      <c r="F89" s="52"/>
      <c r="G89" s="60">
        <v>25000</v>
      </c>
      <c r="H89" s="52">
        <f t="shared" si="19"/>
        <v>782</v>
      </c>
      <c r="I89" s="50"/>
      <c r="J89" s="39" t="s">
        <v>31</v>
      </c>
      <c r="K89" s="77">
        <v>24200</v>
      </c>
      <c r="L89" s="56">
        <v>5</v>
      </c>
      <c r="M89" s="56">
        <v>13</v>
      </c>
      <c r="N89" s="56"/>
      <c r="O89" s="46"/>
      <c r="P89" s="57"/>
      <c r="AF89" s="17">
        <f t="shared" si="15"/>
        <v>46217</v>
      </c>
    </row>
    <row r="90" spans="1:32" ht="24.75" customHeight="1" x14ac:dyDescent="0.3">
      <c r="A90" s="59"/>
      <c r="B90" s="49"/>
      <c r="C90" s="49"/>
      <c r="D90" s="50" t="s">
        <v>62</v>
      </c>
      <c r="E90" s="51" t="s">
        <v>63</v>
      </c>
      <c r="F90" s="52">
        <f>H86</f>
        <v>13126</v>
      </c>
      <c r="G90" s="60"/>
      <c r="H90" s="52">
        <f t="shared" si="19"/>
        <v>10625</v>
      </c>
      <c r="I90" s="50"/>
      <c r="J90" s="39" t="s">
        <v>64</v>
      </c>
      <c r="K90" s="77">
        <v>2500</v>
      </c>
      <c r="L90" s="56">
        <v>1</v>
      </c>
      <c r="M90" s="56"/>
      <c r="N90" s="65"/>
      <c r="O90" s="46">
        <f>(L90+M90)/(K90+L90+M90)*100</f>
        <v>3.9984006397441027E-2</v>
      </c>
      <c r="P90" s="57">
        <f>L90/K90*100</f>
        <v>0.04</v>
      </c>
      <c r="Q90" s="26">
        <v>42990</v>
      </c>
      <c r="R90" s="25" t="s">
        <v>23</v>
      </c>
      <c r="S90" s="27">
        <f>17200+27900</f>
        <v>45100</v>
      </c>
      <c r="X90" s="29">
        <f>T90/S90*100</f>
        <v>0</v>
      </c>
      <c r="AF90" s="17">
        <f t="shared" si="15"/>
        <v>46217</v>
      </c>
    </row>
    <row r="91" spans="1:32" ht="24.75" customHeight="1" x14ac:dyDescent="0.3">
      <c r="A91" s="59"/>
      <c r="B91" s="49" t="s">
        <v>27</v>
      </c>
      <c r="C91" s="49" t="s">
        <v>28</v>
      </c>
      <c r="D91" s="50" t="s">
        <v>29</v>
      </c>
      <c r="E91" s="51" t="s">
        <v>30</v>
      </c>
      <c r="F91" s="52">
        <f>H89</f>
        <v>782</v>
      </c>
      <c r="G91" s="60">
        <v>35500</v>
      </c>
      <c r="H91" s="52">
        <f t="shared" si="19"/>
        <v>12062</v>
      </c>
      <c r="I91" s="50"/>
      <c r="J91" s="39" t="s">
        <v>31</v>
      </c>
      <c r="K91" s="77">
        <v>24200</v>
      </c>
      <c r="L91" s="56">
        <v>11</v>
      </c>
      <c r="M91" s="56">
        <v>9</v>
      </c>
      <c r="N91" s="65"/>
      <c r="O91" s="46">
        <f>(L91+M91)/(K91+L91+M91)*100</f>
        <v>8.2576383154417829E-2</v>
      </c>
      <c r="P91" s="57">
        <f>L91/K91*100</f>
        <v>4.5454545454545456E-2</v>
      </c>
      <c r="Q91" s="26">
        <v>42990</v>
      </c>
      <c r="R91" s="25" t="s">
        <v>23</v>
      </c>
      <c r="S91" s="27">
        <f>17200+27900</f>
        <v>45100</v>
      </c>
      <c r="X91" s="29">
        <f>T91/S91*100</f>
        <v>0</v>
      </c>
      <c r="AF91" s="17">
        <f t="shared" si="15"/>
        <v>46217</v>
      </c>
    </row>
    <row r="92" spans="1:32" ht="24.75" customHeight="1" x14ac:dyDescent="0.3">
      <c r="A92" s="59"/>
      <c r="B92" s="49"/>
      <c r="C92" s="49"/>
      <c r="D92" s="50" t="s">
        <v>62</v>
      </c>
      <c r="E92" s="51" t="s">
        <v>63</v>
      </c>
      <c r="F92" s="52">
        <f>H90</f>
        <v>10625</v>
      </c>
      <c r="G92" s="60"/>
      <c r="H92" s="52">
        <f t="shared" si="19"/>
        <v>6873</v>
      </c>
      <c r="I92" s="50"/>
      <c r="J92" s="39" t="s">
        <v>64</v>
      </c>
      <c r="K92" s="95">
        <v>3750</v>
      </c>
      <c r="L92" s="56">
        <v>2</v>
      </c>
      <c r="M92" s="56"/>
      <c r="N92" s="65"/>
      <c r="O92" s="46"/>
      <c r="P92" s="57">
        <f>L92/K92*100</f>
        <v>5.3333333333333337E-2</v>
      </c>
      <c r="X92" s="25"/>
      <c r="AF92" s="17">
        <f t="shared" si="15"/>
        <v>46217</v>
      </c>
    </row>
    <row r="93" spans="1:32" ht="24.75" customHeight="1" x14ac:dyDescent="0.3">
      <c r="A93" s="59"/>
      <c r="B93" s="49"/>
      <c r="C93" s="49"/>
      <c r="D93" s="50"/>
      <c r="E93" s="51"/>
      <c r="F93" s="52"/>
      <c r="G93" s="60"/>
      <c r="H93" s="52"/>
      <c r="I93" s="50"/>
      <c r="J93" s="39"/>
      <c r="K93" s="77"/>
      <c r="L93" s="56"/>
      <c r="M93" s="56"/>
      <c r="N93" s="92" t="s">
        <v>65</v>
      </c>
      <c r="O93" s="46" t="e">
        <f>(L93+M93)/(#REF!+L93+M93)*100</f>
        <v>#REF!</v>
      </c>
      <c r="P93" s="57" t="e">
        <f>L93/#REF!*100</f>
        <v>#REF!</v>
      </c>
      <c r="X93" s="25"/>
      <c r="AF93" s="17">
        <f t="shared" si="15"/>
        <v>46217</v>
      </c>
    </row>
    <row r="94" spans="1:32" ht="24.75" customHeight="1" x14ac:dyDescent="0.3">
      <c r="A94" s="59">
        <v>46218</v>
      </c>
      <c r="B94" s="49" t="s">
        <v>19</v>
      </c>
      <c r="C94" s="49" t="s">
        <v>20</v>
      </c>
      <c r="D94" s="50" t="s">
        <v>29</v>
      </c>
      <c r="E94" s="51" t="s">
        <v>30</v>
      </c>
      <c r="F94" s="52">
        <f>H91</f>
        <v>12062</v>
      </c>
      <c r="G94" s="60">
        <v>15500</v>
      </c>
      <c r="H94" s="52">
        <f t="shared" ref="H94:H99" si="20">F94+G94-K94-L94-M94</f>
        <v>3350</v>
      </c>
      <c r="I94" s="50"/>
      <c r="J94" s="39" t="s">
        <v>31</v>
      </c>
      <c r="K94" s="77">
        <v>24200</v>
      </c>
      <c r="L94" s="56">
        <v>3</v>
      </c>
      <c r="M94" s="56">
        <v>9</v>
      </c>
      <c r="N94" s="50"/>
      <c r="O94" s="46">
        <f t="shared" ref="O94:O112" si="21">(L94+M94)/(K94+L94+M94)*100</f>
        <v>4.956220056170494E-2</v>
      </c>
      <c r="P94" s="57">
        <f t="shared" ref="P94:P155" si="22">L94/K94*100</f>
        <v>1.2396694214876033E-2</v>
      </c>
      <c r="R94" s="25" t="s">
        <v>41</v>
      </c>
      <c r="S94" s="27">
        <f>26000+27000</f>
        <v>53000</v>
      </c>
      <c r="X94" s="25"/>
      <c r="AF94" s="17">
        <f t="shared" si="15"/>
        <v>46218</v>
      </c>
    </row>
    <row r="95" spans="1:32" ht="24.75" customHeight="1" x14ac:dyDescent="0.3">
      <c r="A95" s="59"/>
      <c r="B95" s="49"/>
      <c r="C95" s="49"/>
      <c r="D95" s="50" t="s">
        <v>62</v>
      </c>
      <c r="E95" s="51" t="s">
        <v>63</v>
      </c>
      <c r="F95" s="52">
        <f>H92</f>
        <v>6873</v>
      </c>
      <c r="G95" s="60"/>
      <c r="H95" s="52">
        <f t="shared" si="20"/>
        <v>1870</v>
      </c>
      <c r="I95" s="50"/>
      <c r="J95" s="39" t="s">
        <v>64</v>
      </c>
      <c r="K95" s="95">
        <v>5000</v>
      </c>
      <c r="L95" s="56">
        <v>3</v>
      </c>
      <c r="M95" s="56"/>
      <c r="N95" s="50"/>
      <c r="O95" s="46"/>
      <c r="P95" s="57">
        <f t="shared" si="22"/>
        <v>0.06</v>
      </c>
      <c r="X95" s="25"/>
      <c r="AF95" s="17">
        <f t="shared" si="15"/>
        <v>46218</v>
      </c>
    </row>
    <row r="96" spans="1:32" ht="24.75" customHeight="1" x14ac:dyDescent="0.3">
      <c r="A96" s="59"/>
      <c r="B96" s="49" t="s">
        <v>27</v>
      </c>
      <c r="C96" s="49" t="s">
        <v>28</v>
      </c>
      <c r="D96" s="50" t="s">
        <v>29</v>
      </c>
      <c r="E96" s="51" t="s">
        <v>30</v>
      </c>
      <c r="F96" s="52">
        <f>H94</f>
        <v>3350</v>
      </c>
      <c r="G96" s="60"/>
      <c r="H96" s="52">
        <f t="shared" si="20"/>
        <v>1530</v>
      </c>
      <c r="I96" s="50"/>
      <c r="J96" s="39" t="s">
        <v>31</v>
      </c>
      <c r="K96" s="88">
        <v>1820</v>
      </c>
      <c r="L96" s="56"/>
      <c r="M96" s="56"/>
      <c r="N96" s="50"/>
      <c r="O96" s="46"/>
      <c r="P96" s="57"/>
      <c r="X96" s="25"/>
      <c r="AF96" s="17">
        <f t="shared" si="15"/>
        <v>46218</v>
      </c>
    </row>
    <row r="97" spans="1:32" ht="24.75" customHeight="1" x14ac:dyDescent="0.3">
      <c r="A97" s="59"/>
      <c r="B97" s="49"/>
      <c r="C97" s="49"/>
      <c r="D97" s="50" t="s">
        <v>62</v>
      </c>
      <c r="E97" s="51" t="s">
        <v>63</v>
      </c>
      <c r="F97" s="52">
        <f>H95</f>
        <v>1870</v>
      </c>
      <c r="G97" s="60"/>
      <c r="H97" s="52">
        <f t="shared" si="20"/>
        <v>0</v>
      </c>
      <c r="I97" s="50"/>
      <c r="J97" s="39" t="s">
        <v>64</v>
      </c>
      <c r="K97" s="88">
        <v>1830</v>
      </c>
      <c r="L97" s="56">
        <v>40</v>
      </c>
      <c r="M97" s="56"/>
      <c r="N97" s="50"/>
      <c r="O97" s="46"/>
      <c r="P97" s="57"/>
      <c r="X97" s="25"/>
      <c r="AF97" s="17">
        <f t="shared" si="15"/>
        <v>46218</v>
      </c>
    </row>
    <row r="98" spans="1:32" ht="24" customHeight="1" x14ac:dyDescent="0.3">
      <c r="A98" s="59"/>
      <c r="B98" s="49"/>
      <c r="C98" s="49"/>
      <c r="D98" s="50" t="s">
        <v>43</v>
      </c>
      <c r="E98" s="51" t="s">
        <v>22</v>
      </c>
      <c r="F98" s="52">
        <f>H85</f>
        <v>4790</v>
      </c>
      <c r="G98" s="60"/>
      <c r="H98" s="52">
        <f t="shared" si="20"/>
        <v>-17626</v>
      </c>
      <c r="I98" s="50"/>
      <c r="J98" s="39" t="s">
        <v>23</v>
      </c>
      <c r="K98" s="77">
        <v>22400</v>
      </c>
      <c r="L98" s="56">
        <v>10</v>
      </c>
      <c r="M98" s="56">
        <v>6</v>
      </c>
      <c r="N98" s="50"/>
      <c r="O98" s="46">
        <f t="shared" si="21"/>
        <v>7.1377587437544618E-2</v>
      </c>
      <c r="P98" s="57">
        <f t="shared" si="22"/>
        <v>4.4642857142857144E-2</v>
      </c>
      <c r="X98" s="25"/>
      <c r="AF98" s="17">
        <f t="shared" si="15"/>
        <v>46218</v>
      </c>
    </row>
    <row r="99" spans="1:32" ht="24.75" customHeight="1" x14ac:dyDescent="0.3">
      <c r="A99" s="59"/>
      <c r="B99" s="49"/>
      <c r="C99" s="49"/>
      <c r="D99" s="50" t="s">
        <v>69</v>
      </c>
      <c r="E99" s="51" t="s">
        <v>70</v>
      </c>
      <c r="F99" s="52"/>
      <c r="G99" s="60">
        <v>5060</v>
      </c>
      <c r="H99" s="52">
        <f t="shared" si="20"/>
        <v>4960</v>
      </c>
      <c r="I99" s="50"/>
      <c r="J99" s="96" t="s">
        <v>71</v>
      </c>
      <c r="K99" s="97">
        <v>100</v>
      </c>
      <c r="L99" s="56"/>
      <c r="M99" s="56"/>
      <c r="N99" s="50"/>
      <c r="O99" s="46">
        <f t="shared" si="21"/>
        <v>0</v>
      </c>
      <c r="P99" s="57">
        <f t="shared" si="22"/>
        <v>0</v>
      </c>
      <c r="X99" s="25"/>
      <c r="AF99" s="17">
        <f t="shared" si="15"/>
        <v>46218</v>
      </c>
    </row>
    <row r="100" spans="1:32" ht="24.75" customHeight="1" x14ac:dyDescent="0.3">
      <c r="A100" s="59"/>
      <c r="B100" s="49"/>
      <c r="C100" s="49"/>
      <c r="D100" s="50"/>
      <c r="E100" s="51"/>
      <c r="F100" s="52"/>
      <c r="G100" s="60"/>
      <c r="H100" s="52"/>
      <c r="I100" s="50"/>
      <c r="J100" s="39"/>
      <c r="K100" s="98"/>
      <c r="L100" s="56"/>
      <c r="M100" s="56"/>
      <c r="N100" s="50"/>
      <c r="O100" s="46"/>
      <c r="P100" s="57"/>
      <c r="X100" s="25"/>
      <c r="AF100" s="17">
        <f t="shared" si="15"/>
        <v>46218</v>
      </c>
    </row>
    <row r="101" spans="1:32" ht="24.75" customHeight="1" x14ac:dyDescent="0.3">
      <c r="A101" s="59">
        <v>46219</v>
      </c>
      <c r="B101" s="49" t="s">
        <v>19</v>
      </c>
      <c r="C101" s="49" t="s">
        <v>20</v>
      </c>
      <c r="D101" s="50" t="s">
        <v>29</v>
      </c>
      <c r="E101" s="51" t="s">
        <v>30</v>
      </c>
      <c r="F101" s="52">
        <f>H96</f>
        <v>1530</v>
      </c>
      <c r="G101" s="60"/>
      <c r="H101" s="52">
        <f t="shared" ref="H101:H106" si="23">F101+G101-K101-L101-M101</f>
        <v>-2478</v>
      </c>
      <c r="I101" s="50"/>
      <c r="J101" s="39" t="s">
        <v>31</v>
      </c>
      <c r="K101" s="77">
        <f>1000+3000</f>
        <v>4000</v>
      </c>
      <c r="L101" s="56">
        <v>8</v>
      </c>
      <c r="M101" s="99"/>
      <c r="N101" s="50"/>
      <c r="O101" s="46">
        <f t="shared" si="21"/>
        <v>0.19960079840319359</v>
      </c>
      <c r="P101" s="57">
        <f t="shared" si="22"/>
        <v>0.2</v>
      </c>
      <c r="X101" s="25"/>
      <c r="AF101" s="17">
        <f t="shared" si="15"/>
        <v>46219</v>
      </c>
    </row>
    <row r="102" spans="1:32" ht="24.75" customHeight="1" x14ac:dyDescent="0.3">
      <c r="A102" s="59"/>
      <c r="B102" s="49"/>
      <c r="C102" s="49"/>
      <c r="D102" s="50" t="s">
        <v>69</v>
      </c>
      <c r="E102" s="51" t="s">
        <v>70</v>
      </c>
      <c r="F102" s="52">
        <f>H99</f>
        <v>4960</v>
      </c>
      <c r="G102" s="60"/>
      <c r="H102" s="52">
        <f t="shared" si="23"/>
        <v>3158</v>
      </c>
      <c r="I102" s="50"/>
      <c r="J102" s="96" t="s">
        <v>71</v>
      </c>
      <c r="K102" s="77">
        <v>1800</v>
      </c>
      <c r="L102" s="56">
        <v>2</v>
      </c>
      <c r="M102" s="99"/>
      <c r="N102" s="50"/>
      <c r="O102" s="46">
        <f t="shared" si="21"/>
        <v>0.11098779134295228</v>
      </c>
      <c r="P102" s="57">
        <f t="shared" si="22"/>
        <v>0.1111111111111111</v>
      </c>
      <c r="X102" s="25"/>
      <c r="AF102" s="17">
        <f t="shared" si="15"/>
        <v>46219</v>
      </c>
    </row>
    <row r="103" spans="1:32" ht="24.75" customHeight="1" x14ac:dyDescent="0.3">
      <c r="A103" s="59"/>
      <c r="B103" s="49"/>
      <c r="C103" s="49"/>
      <c r="D103" s="50" t="s">
        <v>51</v>
      </c>
      <c r="E103" s="51" t="s">
        <v>52</v>
      </c>
      <c r="F103" s="52">
        <f>H88</f>
        <v>24093</v>
      </c>
      <c r="G103" s="60"/>
      <c r="H103" s="52">
        <f t="shared" si="23"/>
        <v>6063</v>
      </c>
      <c r="I103" s="50"/>
      <c r="J103" s="37" t="s">
        <v>53</v>
      </c>
      <c r="K103" s="77">
        <v>18000</v>
      </c>
      <c r="L103" s="56">
        <v>6</v>
      </c>
      <c r="M103" s="56">
        <v>24</v>
      </c>
      <c r="N103" s="50"/>
      <c r="O103" s="46">
        <f t="shared" si="21"/>
        <v>0.16638935108153077</v>
      </c>
      <c r="P103" s="57">
        <f t="shared" si="22"/>
        <v>3.3333333333333333E-2</v>
      </c>
      <c r="W103" s="29"/>
      <c r="X103" s="25"/>
      <c r="AF103" s="17">
        <f t="shared" si="15"/>
        <v>46219</v>
      </c>
    </row>
    <row r="104" spans="1:32" ht="24.75" customHeight="1" x14ac:dyDescent="0.3">
      <c r="A104" s="59"/>
      <c r="B104" s="49" t="s">
        <v>27</v>
      </c>
      <c r="C104" s="49" t="s">
        <v>28</v>
      </c>
      <c r="D104" s="50" t="s">
        <v>29</v>
      </c>
      <c r="E104" s="51" t="s">
        <v>30</v>
      </c>
      <c r="F104" s="52">
        <f>H101</f>
        <v>-2478</v>
      </c>
      <c r="G104" s="60">
        <v>40750</v>
      </c>
      <c r="H104" s="52">
        <f t="shared" si="23"/>
        <v>30267</v>
      </c>
      <c r="I104" s="50"/>
      <c r="J104" s="39" t="s">
        <v>31</v>
      </c>
      <c r="K104" s="77">
        <v>8000</v>
      </c>
      <c r="L104" s="56">
        <v>5</v>
      </c>
      <c r="M104" s="56"/>
      <c r="N104" s="50"/>
      <c r="O104" s="46">
        <f t="shared" si="21"/>
        <v>6.2460961898813241E-2</v>
      </c>
      <c r="P104" s="57">
        <f t="shared" si="22"/>
        <v>6.25E-2</v>
      </c>
      <c r="W104" s="29"/>
      <c r="X104" s="25"/>
      <c r="AF104" s="17">
        <f t="shared" si="15"/>
        <v>46219</v>
      </c>
    </row>
    <row r="105" spans="1:32" ht="24.75" customHeight="1" x14ac:dyDescent="0.3">
      <c r="A105" s="59"/>
      <c r="B105" s="49"/>
      <c r="C105" s="49"/>
      <c r="D105" s="50" t="s">
        <v>69</v>
      </c>
      <c r="E105" s="51" t="s">
        <v>70</v>
      </c>
      <c r="F105" s="52">
        <f t="shared" ref="F105:F106" si="24">H102</f>
        <v>3158</v>
      </c>
      <c r="G105" s="60"/>
      <c r="H105" s="52">
        <f t="shared" si="23"/>
        <v>656</v>
      </c>
      <c r="I105" s="50"/>
      <c r="J105" s="96" t="s">
        <v>71</v>
      </c>
      <c r="K105" s="95">
        <v>2500</v>
      </c>
      <c r="L105" s="56">
        <v>2</v>
      </c>
      <c r="M105" s="56"/>
      <c r="N105" s="50"/>
      <c r="O105" s="46">
        <f t="shared" si="21"/>
        <v>7.9936051159072735E-2</v>
      </c>
      <c r="P105" s="57">
        <f t="shared" si="22"/>
        <v>0.08</v>
      </c>
      <c r="W105" s="29"/>
      <c r="X105" s="25"/>
      <c r="AF105" s="17">
        <f t="shared" si="15"/>
        <v>46219</v>
      </c>
    </row>
    <row r="106" spans="1:32" ht="24.75" customHeight="1" x14ac:dyDescent="0.3">
      <c r="A106" s="59"/>
      <c r="B106" s="49"/>
      <c r="C106" s="49"/>
      <c r="D106" s="50" t="s">
        <v>51</v>
      </c>
      <c r="E106" s="51" t="s">
        <v>52</v>
      </c>
      <c r="F106" s="52">
        <f t="shared" si="24"/>
        <v>6063</v>
      </c>
      <c r="G106" s="60"/>
      <c r="H106" s="52">
        <f t="shared" si="23"/>
        <v>-3252</v>
      </c>
      <c r="I106" s="50"/>
      <c r="J106" s="37" t="s">
        <v>53</v>
      </c>
      <c r="K106" s="77">
        <v>9310</v>
      </c>
      <c r="L106" s="56">
        <v>5</v>
      </c>
      <c r="M106" s="56"/>
      <c r="N106" s="50"/>
      <c r="O106" s="46">
        <f t="shared" si="21"/>
        <v>5.3676865271068172E-2</v>
      </c>
      <c r="P106" s="57">
        <f t="shared" si="22"/>
        <v>5.3705692803437163E-2</v>
      </c>
      <c r="X106" s="25"/>
      <c r="AF106" s="17">
        <f t="shared" si="15"/>
        <v>46219</v>
      </c>
    </row>
    <row r="107" spans="1:32" ht="24.75" customHeight="1" x14ac:dyDescent="0.3">
      <c r="A107" s="59"/>
      <c r="B107" s="49"/>
      <c r="C107" s="49"/>
      <c r="D107" s="50"/>
      <c r="E107" s="51"/>
      <c r="F107" s="52"/>
      <c r="G107" s="60"/>
      <c r="H107" s="52"/>
      <c r="I107" s="50"/>
      <c r="J107" s="39"/>
      <c r="K107" s="77"/>
      <c r="L107" s="56"/>
      <c r="M107" s="56"/>
      <c r="N107" s="50"/>
      <c r="O107" s="46" t="e">
        <f t="shared" si="21"/>
        <v>#DIV/0!</v>
      </c>
      <c r="P107" s="57" t="e">
        <f t="shared" si="22"/>
        <v>#DIV/0!</v>
      </c>
      <c r="X107" s="25"/>
      <c r="AF107" s="17">
        <f t="shared" si="15"/>
        <v>46219</v>
      </c>
    </row>
    <row r="108" spans="1:32" ht="24.75" customHeight="1" x14ac:dyDescent="0.3">
      <c r="A108" s="59">
        <v>46220</v>
      </c>
      <c r="B108" s="49" t="s">
        <v>19</v>
      </c>
      <c r="C108" s="49" t="s">
        <v>20</v>
      </c>
      <c r="D108" s="50" t="s">
        <v>29</v>
      </c>
      <c r="E108" s="51" t="s">
        <v>30</v>
      </c>
      <c r="F108" s="52">
        <f>H104</f>
        <v>30267</v>
      </c>
      <c r="G108" s="60"/>
      <c r="H108" s="52">
        <f t="shared" ref="H108:H118" si="25">F108+G108-K108-L108-M108</f>
        <v>19105</v>
      </c>
      <c r="I108" s="50"/>
      <c r="J108" s="39" t="s">
        <v>31</v>
      </c>
      <c r="K108" s="77">
        <v>11160</v>
      </c>
      <c r="L108" s="56">
        <v>2</v>
      </c>
      <c r="M108" s="56"/>
      <c r="N108" s="50"/>
      <c r="O108" s="46">
        <f t="shared" si="21"/>
        <v>1.7917935853789643E-2</v>
      </c>
      <c r="P108" s="57">
        <f t="shared" si="22"/>
        <v>1.7921146953405017E-2</v>
      </c>
      <c r="X108" s="25"/>
      <c r="AF108" s="17">
        <f t="shared" si="15"/>
        <v>46220</v>
      </c>
    </row>
    <row r="109" spans="1:32" ht="24.75" customHeight="1" x14ac:dyDescent="0.3">
      <c r="A109" s="59"/>
      <c r="B109" s="49"/>
      <c r="C109" s="49"/>
      <c r="D109" s="50" t="s">
        <v>43</v>
      </c>
      <c r="E109" s="51" t="s">
        <v>22</v>
      </c>
      <c r="F109" s="52"/>
      <c r="G109" s="60">
        <v>16250</v>
      </c>
      <c r="H109" s="52">
        <f t="shared" si="25"/>
        <v>5642</v>
      </c>
      <c r="I109" s="50"/>
      <c r="J109" s="39" t="s">
        <v>23</v>
      </c>
      <c r="K109" s="77">
        <v>10600</v>
      </c>
      <c r="L109" s="56">
        <v>3</v>
      </c>
      <c r="M109" s="56">
        <v>5</v>
      </c>
      <c r="N109" s="50"/>
      <c r="O109" s="46">
        <f t="shared" si="21"/>
        <v>7.5414781297134248E-2</v>
      </c>
      <c r="P109" s="57">
        <f>L109/K109*100</f>
        <v>2.8301886792452831E-2</v>
      </c>
      <c r="AF109" s="17">
        <f t="shared" si="15"/>
        <v>46220</v>
      </c>
    </row>
    <row r="110" spans="1:32" ht="24.75" customHeight="1" x14ac:dyDescent="0.3">
      <c r="A110" s="59"/>
      <c r="B110" s="49" t="s">
        <v>27</v>
      </c>
      <c r="C110" s="49" t="s">
        <v>28</v>
      </c>
      <c r="D110" s="50" t="s">
        <v>43</v>
      </c>
      <c r="E110" s="51" t="s">
        <v>22</v>
      </c>
      <c r="F110" s="52">
        <f>H109</f>
        <v>5642</v>
      </c>
      <c r="G110" s="60"/>
      <c r="H110" s="52">
        <f t="shared" si="25"/>
        <v>0</v>
      </c>
      <c r="I110" s="50"/>
      <c r="J110" s="39" t="s">
        <v>23</v>
      </c>
      <c r="K110" s="77">
        <v>5640</v>
      </c>
      <c r="L110" s="56">
        <v>2</v>
      </c>
      <c r="M110" s="56"/>
      <c r="N110" s="50"/>
      <c r="O110" s="46">
        <f t="shared" si="21"/>
        <v>3.5448422545196742E-2</v>
      </c>
      <c r="P110" s="57">
        <f>L110/K110*100</f>
        <v>3.5460992907801421E-2</v>
      </c>
      <c r="AF110" s="17">
        <f t="shared" si="15"/>
        <v>46220</v>
      </c>
    </row>
    <row r="111" spans="1:32" ht="24.75" customHeight="1" x14ac:dyDescent="0.3">
      <c r="A111" s="59"/>
      <c r="B111" s="49"/>
      <c r="C111" s="49"/>
      <c r="D111" s="50" t="s">
        <v>72</v>
      </c>
      <c r="E111" s="51" t="s">
        <v>22</v>
      </c>
      <c r="F111" s="52"/>
      <c r="G111" s="60">
        <v>50750</v>
      </c>
      <c r="H111" s="52">
        <f t="shared" si="25"/>
        <v>28172</v>
      </c>
      <c r="I111" s="50"/>
      <c r="J111" s="39" t="s">
        <v>23</v>
      </c>
      <c r="K111" s="95">
        <f>18560+4000</f>
        <v>22560</v>
      </c>
      <c r="L111" s="56">
        <v>15</v>
      </c>
      <c r="M111" s="56">
        <v>3</v>
      </c>
      <c r="N111" s="50"/>
      <c r="O111" s="46">
        <f t="shared" si="21"/>
        <v>7.9723624767472759E-2</v>
      </c>
      <c r="P111" s="57">
        <f t="shared" si="22"/>
        <v>6.6489361702127658E-2</v>
      </c>
      <c r="AF111" s="17">
        <f t="shared" si="15"/>
        <v>46220</v>
      </c>
    </row>
    <row r="112" spans="1:32" ht="24.75" customHeight="1" x14ac:dyDescent="0.3">
      <c r="A112" s="59"/>
      <c r="B112" s="49"/>
      <c r="C112" s="49"/>
      <c r="D112" s="50" t="s">
        <v>69</v>
      </c>
      <c r="E112" s="51" t="s">
        <v>70</v>
      </c>
      <c r="F112" s="52">
        <f>H105</f>
        <v>656</v>
      </c>
      <c r="G112" s="60"/>
      <c r="H112" s="52">
        <f t="shared" si="25"/>
        <v>0</v>
      </c>
      <c r="I112" s="50"/>
      <c r="J112" s="96" t="s">
        <v>71</v>
      </c>
      <c r="K112" s="77">
        <v>650</v>
      </c>
      <c r="L112" s="56">
        <v>2</v>
      </c>
      <c r="M112" s="56">
        <v>4</v>
      </c>
      <c r="N112" s="50"/>
      <c r="O112" s="46">
        <f t="shared" si="21"/>
        <v>0.91463414634146334</v>
      </c>
      <c r="P112" s="57">
        <f t="shared" si="22"/>
        <v>0.30769230769230771</v>
      </c>
      <c r="AF112" s="17">
        <f t="shared" si="15"/>
        <v>46220</v>
      </c>
    </row>
    <row r="113" spans="1:32" ht="24.75" customHeight="1" x14ac:dyDescent="0.3">
      <c r="A113" s="59"/>
      <c r="B113" s="49"/>
      <c r="C113" s="49"/>
      <c r="D113" s="50" t="s">
        <v>29</v>
      </c>
      <c r="E113" s="51" t="s">
        <v>30</v>
      </c>
      <c r="F113" s="52">
        <f>H108</f>
        <v>19105</v>
      </c>
      <c r="G113" s="60"/>
      <c r="H113" s="52">
        <f t="shared" si="25"/>
        <v>15872</v>
      </c>
      <c r="I113" s="50"/>
      <c r="J113" s="39" t="s">
        <v>31</v>
      </c>
      <c r="K113" s="77">
        <f>2230+1000</f>
        <v>3230</v>
      </c>
      <c r="L113" s="56">
        <v>3</v>
      </c>
      <c r="M113" s="56"/>
      <c r="N113" s="50"/>
      <c r="O113" s="46"/>
      <c r="P113" s="57">
        <f t="shared" si="22"/>
        <v>9.2879256965944262E-2</v>
      </c>
      <c r="AF113" s="17">
        <f t="shared" si="15"/>
        <v>46220</v>
      </c>
    </row>
    <row r="114" spans="1:32" ht="24.75" customHeight="1" x14ac:dyDescent="0.3">
      <c r="A114" s="59"/>
      <c r="B114" s="49"/>
      <c r="C114" s="49"/>
      <c r="D114" s="50"/>
      <c r="E114" s="51"/>
      <c r="F114" s="52"/>
      <c r="G114" s="60"/>
      <c r="H114" s="52"/>
      <c r="I114" s="50"/>
      <c r="J114" s="39"/>
      <c r="K114" s="77"/>
      <c r="L114" s="56"/>
      <c r="M114" s="56"/>
      <c r="N114" s="50"/>
      <c r="O114" s="46"/>
      <c r="P114" s="57" t="e">
        <f t="shared" si="22"/>
        <v>#DIV/0!</v>
      </c>
      <c r="AF114" s="17" t="e">
        <f>+IF(A114&lt;&gt;0,A114,IF(AND(A114="",AE114=1),"",#REF!))</f>
        <v>#REF!</v>
      </c>
    </row>
    <row r="115" spans="1:32" s="103" customFormat="1" ht="24.75" customHeight="1" x14ac:dyDescent="0.3">
      <c r="A115" s="59">
        <v>46221</v>
      </c>
      <c r="B115" s="49" t="s">
        <v>19</v>
      </c>
      <c r="C115" s="49" t="s">
        <v>20</v>
      </c>
      <c r="D115" s="50" t="s">
        <v>73</v>
      </c>
      <c r="E115" s="51" t="s">
        <v>74</v>
      </c>
      <c r="F115" s="52"/>
      <c r="G115" s="60">
        <v>38000</v>
      </c>
      <c r="H115" s="52">
        <f t="shared" si="25"/>
        <v>28985</v>
      </c>
      <c r="I115" s="50"/>
      <c r="J115" s="39" t="s">
        <v>75</v>
      </c>
      <c r="K115" s="40">
        <v>9000</v>
      </c>
      <c r="L115" s="56">
        <v>9</v>
      </c>
      <c r="M115" s="56">
        <v>6</v>
      </c>
      <c r="N115" s="50"/>
      <c r="O115" s="100">
        <f>(L115+M115)/(K115+L115+M115)*100</f>
        <v>0.16638935108153077</v>
      </c>
      <c r="P115" s="101">
        <f t="shared" si="22"/>
        <v>0.1</v>
      </c>
      <c r="Q115" s="102">
        <f>954/0.22/1.2/1.005</f>
        <v>3595.658073270014</v>
      </c>
      <c r="S115" s="104"/>
      <c r="T115" s="105"/>
      <c r="U115" s="105"/>
      <c r="V115" s="106"/>
      <c r="W115" s="107"/>
      <c r="X115" s="106"/>
      <c r="AF115" s="17">
        <f t="shared" si="15"/>
        <v>46221</v>
      </c>
    </row>
    <row r="116" spans="1:32" s="103" customFormat="1" ht="24.75" customHeight="1" x14ac:dyDescent="0.3">
      <c r="A116" s="59"/>
      <c r="B116" s="49"/>
      <c r="C116" s="49"/>
      <c r="D116" s="50" t="s">
        <v>72</v>
      </c>
      <c r="E116" s="51" t="s">
        <v>22</v>
      </c>
      <c r="F116" s="52">
        <f>H111</f>
        <v>28172</v>
      </c>
      <c r="G116" s="60"/>
      <c r="H116" s="52">
        <f t="shared" si="25"/>
        <v>19464</v>
      </c>
      <c r="I116" s="50"/>
      <c r="J116" s="39" t="s">
        <v>23</v>
      </c>
      <c r="K116" s="40">
        <f>6700+2000</f>
        <v>8700</v>
      </c>
      <c r="L116" s="56">
        <v>8</v>
      </c>
      <c r="M116" s="56"/>
      <c r="N116" s="50"/>
      <c r="O116" s="100">
        <f>(L116+M116)/(K116+L116+M116)*100</f>
        <v>9.1869545245751028E-2</v>
      </c>
      <c r="P116" s="101">
        <f>L116/K116*100</f>
        <v>9.1954022988505746E-2</v>
      </c>
      <c r="Q116" s="102">
        <f>954/0.22/1.2/1.005</f>
        <v>3595.658073270014</v>
      </c>
      <c r="S116" s="104"/>
      <c r="T116" s="105"/>
      <c r="U116" s="105"/>
      <c r="V116" s="106"/>
      <c r="W116" s="107"/>
      <c r="X116" s="106"/>
      <c r="AF116" s="17">
        <f>+IF(A116&lt;&gt;0,A116,IF(AND(A116="",AE116=1),"",AF115))</f>
        <v>46221</v>
      </c>
    </row>
    <row r="117" spans="1:32" s="103" customFormat="1" ht="24.75" customHeight="1" x14ac:dyDescent="0.3">
      <c r="A117" s="59"/>
      <c r="B117" s="49" t="s">
        <v>27</v>
      </c>
      <c r="C117" s="49" t="s">
        <v>28</v>
      </c>
      <c r="D117" s="50" t="s">
        <v>73</v>
      </c>
      <c r="E117" s="51" t="s">
        <v>74</v>
      </c>
      <c r="F117" s="52">
        <f>H115</f>
        <v>28985</v>
      </c>
      <c r="G117" s="60"/>
      <c r="H117" s="52">
        <f t="shared" si="25"/>
        <v>12260</v>
      </c>
      <c r="I117" s="50"/>
      <c r="J117" s="39" t="s">
        <v>75</v>
      </c>
      <c r="K117" s="40">
        <v>16700</v>
      </c>
      <c r="L117" s="56">
        <v>20</v>
      </c>
      <c r="M117" s="56">
        <v>5</v>
      </c>
      <c r="N117" s="50"/>
      <c r="O117" s="100"/>
      <c r="P117" s="101"/>
      <c r="Q117" s="108"/>
      <c r="S117" s="104"/>
      <c r="T117" s="105"/>
      <c r="U117" s="105"/>
      <c r="V117" s="106"/>
      <c r="W117" s="107"/>
      <c r="X117" s="106"/>
      <c r="AF117" s="17">
        <f>+IF(A117&lt;&gt;0,A117,IF(AND(A117="",AE117=1),"",AF115))</f>
        <v>46221</v>
      </c>
    </row>
    <row r="118" spans="1:32" s="103" customFormat="1" ht="24.75" customHeight="1" x14ac:dyDescent="0.3">
      <c r="A118" s="59"/>
      <c r="B118" s="49"/>
      <c r="C118" s="49"/>
      <c r="D118" s="50" t="s">
        <v>72</v>
      </c>
      <c r="E118" s="51" t="s">
        <v>22</v>
      </c>
      <c r="F118" s="52">
        <f>H116</f>
        <v>19464</v>
      </c>
      <c r="G118" s="60"/>
      <c r="H118" s="52">
        <f t="shared" si="25"/>
        <v>16061</v>
      </c>
      <c r="I118" s="50"/>
      <c r="J118" s="39" t="s">
        <v>23</v>
      </c>
      <c r="K118" s="40">
        <v>3400</v>
      </c>
      <c r="L118" s="56">
        <v>3</v>
      </c>
      <c r="M118" s="56"/>
      <c r="N118" s="50"/>
      <c r="O118" s="100"/>
      <c r="P118" s="101"/>
      <c r="Q118" s="108"/>
      <c r="S118" s="104"/>
      <c r="T118" s="105"/>
      <c r="U118" s="105"/>
      <c r="V118" s="106"/>
      <c r="W118" s="107"/>
      <c r="X118" s="106"/>
      <c r="AF118" s="17"/>
    </row>
    <row r="119" spans="1:32" ht="24.75" customHeight="1" x14ac:dyDescent="0.3">
      <c r="A119" s="59"/>
      <c r="B119" s="49"/>
      <c r="C119" s="49"/>
      <c r="D119" s="50"/>
      <c r="E119" s="51"/>
      <c r="F119" s="52"/>
      <c r="G119" s="60"/>
      <c r="H119" s="52"/>
      <c r="I119" s="50"/>
      <c r="J119" s="39"/>
      <c r="K119" s="40"/>
      <c r="L119" s="56"/>
      <c r="M119" s="56"/>
      <c r="N119" s="50"/>
      <c r="O119" s="46"/>
      <c r="P119" s="57"/>
      <c r="Q119" s="109"/>
      <c r="T119" s="110"/>
      <c r="AF119" s="17">
        <f>+IF(A119&lt;&gt;0,A119,IF(AND(A119="",AE119=1),"",AF117))</f>
        <v>46221</v>
      </c>
    </row>
    <row r="120" spans="1:32" ht="25.5" customHeight="1" x14ac:dyDescent="0.3">
      <c r="A120" s="59">
        <v>46222</v>
      </c>
      <c r="B120" s="49" t="s">
        <v>19</v>
      </c>
      <c r="C120" s="49" t="s">
        <v>20</v>
      </c>
      <c r="D120" s="50" t="s">
        <v>73</v>
      </c>
      <c r="E120" s="51" t="s">
        <v>74</v>
      </c>
      <c r="F120" s="52">
        <f>H117</f>
        <v>12260</v>
      </c>
      <c r="G120" s="60">
        <v>36950</v>
      </c>
      <c r="H120" s="52">
        <f t="shared" ref="H120" si="26">F120+G120-K120-L120-M120</f>
        <v>32463</v>
      </c>
      <c r="I120" s="50"/>
      <c r="J120" s="39" t="s">
        <v>75</v>
      </c>
      <c r="K120" s="111">
        <v>16700</v>
      </c>
      <c r="L120" s="56">
        <v>19</v>
      </c>
      <c r="M120" s="56">
        <v>28</v>
      </c>
      <c r="N120" s="67"/>
      <c r="O120" s="46">
        <f>(L120+M120)/(K120+L120+M120)*100</f>
        <v>0.28064728010987045</v>
      </c>
      <c r="P120" s="57">
        <f t="shared" si="22"/>
        <v>0.11377245508982037</v>
      </c>
      <c r="AF120" s="17">
        <f t="shared" si="15"/>
        <v>46222</v>
      </c>
    </row>
    <row r="121" spans="1:32" ht="25.5" customHeight="1" x14ac:dyDescent="0.3">
      <c r="A121" s="59"/>
      <c r="B121" s="49"/>
      <c r="C121" s="49"/>
      <c r="D121" s="50"/>
      <c r="E121" s="51"/>
      <c r="F121" s="52"/>
      <c r="G121" s="60"/>
      <c r="H121" s="52"/>
      <c r="I121" s="50"/>
      <c r="J121" s="39"/>
      <c r="K121" s="112"/>
      <c r="L121" s="56"/>
      <c r="M121" s="56"/>
      <c r="N121" s="67"/>
      <c r="O121" s="46" t="e">
        <f>(L121+M121)/(K121+L121+M121)*100</f>
        <v>#DIV/0!</v>
      </c>
      <c r="P121" s="57" t="e">
        <f t="shared" si="22"/>
        <v>#DIV/0!</v>
      </c>
      <c r="AF121" s="17">
        <f t="shared" si="15"/>
        <v>46222</v>
      </c>
    </row>
    <row r="122" spans="1:32" ht="25.5" customHeight="1" x14ac:dyDescent="0.3">
      <c r="A122" s="59">
        <v>46223</v>
      </c>
      <c r="B122" s="49" t="s">
        <v>19</v>
      </c>
      <c r="C122" s="49" t="s">
        <v>20</v>
      </c>
      <c r="D122" s="50" t="s">
        <v>73</v>
      </c>
      <c r="E122" s="51" t="s">
        <v>74</v>
      </c>
      <c r="F122" s="52">
        <f>H120</f>
        <v>32463</v>
      </c>
      <c r="G122" s="60"/>
      <c r="H122" s="52">
        <f t="shared" ref="H122:H125" si="27">F122+G122-K122-L122-M122</f>
        <v>29143</v>
      </c>
      <c r="I122" s="50"/>
      <c r="J122" s="39" t="s">
        <v>75</v>
      </c>
      <c r="K122" s="112">
        <v>3300</v>
      </c>
      <c r="L122" s="56">
        <v>17</v>
      </c>
      <c r="M122" s="56">
        <v>3</v>
      </c>
      <c r="N122" s="67"/>
      <c r="O122" s="46">
        <f>(L122+M122)/(K122+L122+M122)*100</f>
        <v>0.60240963855421692</v>
      </c>
      <c r="P122" s="57">
        <f t="shared" si="22"/>
        <v>0.51515151515151514</v>
      </c>
      <c r="AF122" s="17">
        <f t="shared" si="15"/>
        <v>46223</v>
      </c>
    </row>
    <row r="123" spans="1:32" ht="22.5" customHeight="1" x14ac:dyDescent="0.3">
      <c r="A123" s="59"/>
      <c r="B123" s="49"/>
      <c r="C123" s="49"/>
      <c r="D123" s="50" t="s">
        <v>72</v>
      </c>
      <c r="E123" s="51" t="s">
        <v>22</v>
      </c>
      <c r="F123" s="52">
        <f>H118</f>
        <v>16061</v>
      </c>
      <c r="G123" s="60"/>
      <c r="H123" s="52">
        <f t="shared" si="27"/>
        <v>15411</v>
      </c>
      <c r="I123" s="50"/>
      <c r="J123" s="39" t="s">
        <v>23</v>
      </c>
      <c r="K123" s="112">
        <v>650</v>
      </c>
      <c r="L123" s="56"/>
      <c r="M123" s="56"/>
      <c r="N123" s="50"/>
      <c r="O123" s="46">
        <f t="shared" ref="O123:O155" si="28">(L123+M123)/(K123+L123+M123)*100</f>
        <v>0</v>
      </c>
      <c r="P123" s="57">
        <f t="shared" si="22"/>
        <v>0</v>
      </c>
      <c r="AF123" s="17">
        <f t="shared" si="15"/>
        <v>46223</v>
      </c>
    </row>
    <row r="124" spans="1:32" ht="22.5" customHeight="1" x14ac:dyDescent="0.3">
      <c r="A124" s="59"/>
      <c r="B124" s="49"/>
      <c r="C124" s="49"/>
      <c r="D124" s="50" t="s">
        <v>24</v>
      </c>
      <c r="E124" s="51" t="s">
        <v>25</v>
      </c>
      <c r="F124" s="52"/>
      <c r="G124" s="60">
        <v>17000</v>
      </c>
      <c r="H124" s="52">
        <f t="shared" si="27"/>
        <v>12896</v>
      </c>
      <c r="I124" s="50"/>
      <c r="J124" s="39" t="s">
        <v>26</v>
      </c>
      <c r="K124" s="112">
        <v>4100</v>
      </c>
      <c r="L124" s="56">
        <v>4</v>
      </c>
      <c r="M124" s="56"/>
      <c r="N124" s="50"/>
      <c r="O124" s="46">
        <f t="shared" si="28"/>
        <v>9.7465886939571145E-2</v>
      </c>
      <c r="P124" s="57">
        <f t="shared" si="22"/>
        <v>9.7560975609756101E-2</v>
      </c>
    </row>
    <row r="125" spans="1:32" ht="22.5" customHeight="1" x14ac:dyDescent="0.3">
      <c r="A125" s="59"/>
      <c r="B125" s="49" t="s">
        <v>27</v>
      </c>
      <c r="C125" s="49" t="s">
        <v>20</v>
      </c>
      <c r="D125" s="50" t="s">
        <v>73</v>
      </c>
      <c r="E125" s="51" t="s">
        <v>74</v>
      </c>
      <c r="F125" s="52">
        <f>H122</f>
        <v>29143</v>
      </c>
      <c r="G125" s="60"/>
      <c r="H125" s="52">
        <f t="shared" si="27"/>
        <v>13502</v>
      </c>
      <c r="I125" s="50"/>
      <c r="J125" s="39" t="s">
        <v>75</v>
      </c>
      <c r="K125" s="40">
        <v>15600</v>
      </c>
      <c r="L125" s="56">
        <v>28</v>
      </c>
      <c r="M125" s="56">
        <v>13</v>
      </c>
      <c r="N125" s="50"/>
      <c r="O125" s="46">
        <f t="shared" si="28"/>
        <v>0.26213157726488079</v>
      </c>
      <c r="P125" s="57">
        <f t="shared" si="22"/>
        <v>0.17948717948717949</v>
      </c>
      <c r="AF125" s="17">
        <f>+IF(A125&lt;&gt;0,A125,IF(AND(A125="",AE125=1),"",AF123))</f>
        <v>46223</v>
      </c>
    </row>
    <row r="126" spans="1:32" ht="22.5" customHeight="1" x14ac:dyDescent="0.3">
      <c r="A126" s="59"/>
      <c r="B126" s="49"/>
      <c r="C126" s="49"/>
      <c r="D126" s="50"/>
      <c r="E126" s="51"/>
      <c r="F126" s="52"/>
      <c r="G126" s="60"/>
      <c r="H126" s="52"/>
      <c r="I126" s="50"/>
      <c r="J126" s="39"/>
      <c r="K126" s="40"/>
      <c r="L126" s="56"/>
      <c r="M126" s="56"/>
      <c r="N126" s="50"/>
      <c r="O126" s="46" t="e">
        <f t="shared" si="28"/>
        <v>#DIV/0!</v>
      </c>
      <c r="P126" s="57" t="e">
        <f t="shared" si="22"/>
        <v>#DIV/0!</v>
      </c>
      <c r="AF126" s="17">
        <f t="shared" si="15"/>
        <v>46223</v>
      </c>
    </row>
    <row r="127" spans="1:32" s="58" customFormat="1" ht="24" customHeight="1" x14ac:dyDescent="0.3">
      <c r="A127" s="59">
        <v>46224</v>
      </c>
      <c r="B127" s="49" t="s">
        <v>19</v>
      </c>
      <c r="C127" s="49" t="s">
        <v>28</v>
      </c>
      <c r="D127" s="50" t="s">
        <v>73</v>
      </c>
      <c r="E127" s="51" t="s">
        <v>74</v>
      </c>
      <c r="F127" s="52">
        <f>H125</f>
        <v>13502</v>
      </c>
      <c r="G127" s="60"/>
      <c r="H127" s="52">
        <f t="shared" ref="H127:H130" si="29">F127+G127-K127-L127-M127</f>
        <v>2474</v>
      </c>
      <c r="I127" s="50"/>
      <c r="J127" s="39" t="s">
        <v>75</v>
      </c>
      <c r="K127" s="40">
        <f>8530+2480</f>
        <v>11010</v>
      </c>
      <c r="L127" s="65">
        <v>16</v>
      </c>
      <c r="M127" s="65">
        <v>2</v>
      </c>
      <c r="N127" s="113"/>
      <c r="O127" s="46">
        <f t="shared" si="28"/>
        <v>0.1632208922742111</v>
      </c>
      <c r="P127" s="57">
        <f t="shared" si="22"/>
        <v>0.14532243415077203</v>
      </c>
      <c r="Q127" s="26"/>
      <c r="R127" s="25"/>
      <c r="S127" s="27"/>
      <c r="T127" s="28"/>
      <c r="U127" s="28"/>
      <c r="V127" s="63"/>
      <c r="W127" s="64"/>
      <c r="X127" s="63"/>
      <c r="AF127" s="17">
        <f t="shared" si="15"/>
        <v>46224</v>
      </c>
    </row>
    <row r="128" spans="1:32" s="58" customFormat="1" ht="24" customHeight="1" x14ac:dyDescent="0.3">
      <c r="A128" s="59"/>
      <c r="B128" s="49"/>
      <c r="C128" s="49"/>
      <c r="D128" s="50" t="s">
        <v>24</v>
      </c>
      <c r="E128" s="51" t="s">
        <v>25</v>
      </c>
      <c r="F128" s="52">
        <f>H124</f>
        <v>12896</v>
      </c>
      <c r="G128" s="60"/>
      <c r="H128" s="52">
        <f t="shared" si="29"/>
        <v>8138</v>
      </c>
      <c r="I128" s="50"/>
      <c r="J128" s="39" t="s">
        <v>26</v>
      </c>
      <c r="K128" s="40">
        <f>3750+1000</f>
        <v>4750</v>
      </c>
      <c r="L128" s="65">
        <v>8</v>
      </c>
      <c r="M128" s="65"/>
      <c r="N128" s="113"/>
      <c r="O128" s="46">
        <f t="shared" si="28"/>
        <v>0.16813787305590583</v>
      </c>
      <c r="P128" s="57">
        <f t="shared" si="22"/>
        <v>0.16842105263157894</v>
      </c>
      <c r="Q128" s="26"/>
      <c r="R128" s="25"/>
      <c r="S128" s="27"/>
      <c r="T128" s="28"/>
      <c r="U128" s="28"/>
      <c r="V128" s="63"/>
      <c r="W128" s="64"/>
      <c r="X128" s="63"/>
      <c r="AF128" s="17"/>
    </row>
    <row r="129" spans="1:32" s="58" customFormat="1" ht="24" customHeight="1" x14ac:dyDescent="0.3">
      <c r="A129" s="59"/>
      <c r="B129" s="49"/>
      <c r="C129" s="49"/>
      <c r="D129" s="50" t="s">
        <v>72</v>
      </c>
      <c r="E129" s="51" t="s">
        <v>22</v>
      </c>
      <c r="F129" s="52">
        <f>H123</f>
        <v>15411</v>
      </c>
      <c r="G129" s="60"/>
      <c r="H129" s="52">
        <f t="shared" si="29"/>
        <v>14991</v>
      </c>
      <c r="I129" s="50"/>
      <c r="J129" s="39" t="s">
        <v>23</v>
      </c>
      <c r="K129" s="40">
        <v>420</v>
      </c>
      <c r="L129" s="65"/>
      <c r="M129" s="65"/>
      <c r="N129" s="113"/>
      <c r="O129" s="46"/>
      <c r="P129" s="57">
        <f t="shared" si="22"/>
        <v>0</v>
      </c>
      <c r="Q129" s="26"/>
      <c r="R129" s="25"/>
      <c r="S129" s="27"/>
      <c r="T129" s="28"/>
      <c r="U129" s="28"/>
      <c r="V129" s="63"/>
      <c r="W129" s="64"/>
      <c r="X129" s="63"/>
      <c r="AF129" s="17"/>
    </row>
    <row r="130" spans="1:32" s="58" customFormat="1" ht="24" customHeight="1" x14ac:dyDescent="0.3">
      <c r="A130" s="59"/>
      <c r="B130" s="49" t="s">
        <v>27</v>
      </c>
      <c r="C130" s="49" t="s">
        <v>20</v>
      </c>
      <c r="D130" s="50" t="s">
        <v>73</v>
      </c>
      <c r="E130" s="51" t="s">
        <v>74</v>
      </c>
      <c r="F130" s="52">
        <f>H127</f>
        <v>2474</v>
      </c>
      <c r="G130" s="60">
        <v>3895</v>
      </c>
      <c r="H130" s="52">
        <f t="shared" si="29"/>
        <v>946</v>
      </c>
      <c r="I130" s="50"/>
      <c r="J130" s="39" t="s">
        <v>75</v>
      </c>
      <c r="K130" s="40">
        <v>5420</v>
      </c>
      <c r="L130" s="65">
        <v>3</v>
      </c>
      <c r="M130" s="65"/>
      <c r="N130" s="113"/>
      <c r="O130" s="46">
        <f t="shared" si="28"/>
        <v>5.5319933616079654E-2</v>
      </c>
      <c r="P130" s="57">
        <f t="shared" si="22"/>
        <v>5.5350553505535055E-2</v>
      </c>
      <c r="Q130" s="26"/>
      <c r="R130" s="25"/>
      <c r="S130" s="27"/>
      <c r="T130" s="28"/>
      <c r="U130" s="28"/>
      <c r="V130" s="63"/>
      <c r="W130" s="64"/>
      <c r="X130" s="63"/>
      <c r="AF130" s="17">
        <f>+IF(A130&lt;&gt;0,A130,IF(AND(A130="",AE130=1),"",AF127))</f>
        <v>46224</v>
      </c>
    </row>
    <row r="131" spans="1:32" s="58" customFormat="1" ht="24" customHeight="1" x14ac:dyDescent="0.3">
      <c r="A131" s="59"/>
      <c r="B131" s="49"/>
      <c r="C131" s="49"/>
      <c r="D131" s="50"/>
      <c r="E131" s="51"/>
      <c r="F131" s="52"/>
      <c r="G131" s="60"/>
      <c r="H131" s="52"/>
      <c r="I131" s="50"/>
      <c r="J131" s="39"/>
      <c r="K131" s="40"/>
      <c r="L131" s="65"/>
      <c r="M131" s="65"/>
      <c r="N131" s="113"/>
      <c r="O131" s="46" t="e">
        <f t="shared" si="28"/>
        <v>#DIV/0!</v>
      </c>
      <c r="P131" s="57" t="e">
        <f t="shared" si="22"/>
        <v>#DIV/0!</v>
      </c>
      <c r="Q131" s="26"/>
      <c r="R131" s="25"/>
      <c r="S131" s="27"/>
      <c r="T131" s="28"/>
      <c r="U131" s="28"/>
      <c r="V131" s="63"/>
      <c r="W131" s="64"/>
      <c r="X131" s="63"/>
      <c r="AF131" s="17"/>
    </row>
    <row r="132" spans="1:32" s="58" customFormat="1" ht="24" customHeight="1" x14ac:dyDescent="0.3">
      <c r="A132" s="59">
        <v>46225</v>
      </c>
      <c r="B132" s="49" t="s">
        <v>19</v>
      </c>
      <c r="C132" s="49" t="s">
        <v>28</v>
      </c>
      <c r="D132" s="50" t="s">
        <v>73</v>
      </c>
      <c r="E132" s="51" t="s">
        <v>74</v>
      </c>
      <c r="F132" s="52">
        <f>H130</f>
        <v>946</v>
      </c>
      <c r="G132" s="60"/>
      <c r="H132" s="52">
        <f t="shared" ref="H132:H135" si="30">F132+G132-K132-L132-M132</f>
        <v>236</v>
      </c>
      <c r="I132" s="50"/>
      <c r="J132" s="39" t="s">
        <v>75</v>
      </c>
      <c r="K132" s="40">
        <v>710</v>
      </c>
      <c r="L132" s="65"/>
      <c r="M132" s="65"/>
      <c r="N132" s="113"/>
      <c r="O132" s="46">
        <f t="shared" si="28"/>
        <v>0</v>
      </c>
      <c r="P132" s="57">
        <f t="shared" si="22"/>
        <v>0</v>
      </c>
      <c r="Q132" s="26"/>
      <c r="R132" s="25"/>
      <c r="S132" s="27"/>
      <c r="T132" s="28"/>
      <c r="U132" s="28"/>
      <c r="V132" s="63"/>
      <c r="W132" s="64"/>
      <c r="X132" s="63"/>
      <c r="AF132" s="17">
        <f>+IF(A132&lt;&gt;0,A132,IF(AND(A132="",AE132=1),"",AF130))</f>
        <v>46225</v>
      </c>
    </row>
    <row r="133" spans="1:32" s="58" customFormat="1" ht="24" customHeight="1" x14ac:dyDescent="0.3">
      <c r="A133" s="59"/>
      <c r="B133" s="49"/>
      <c r="C133" s="49"/>
      <c r="D133" s="50" t="s">
        <v>24</v>
      </c>
      <c r="E133" s="51" t="s">
        <v>25</v>
      </c>
      <c r="F133" s="52">
        <f t="shared" ref="F133:F134" si="31">H128</f>
        <v>8138</v>
      </c>
      <c r="G133" s="60"/>
      <c r="H133" s="52">
        <f t="shared" si="30"/>
        <v>3133</v>
      </c>
      <c r="I133" s="50"/>
      <c r="J133" s="39" t="s">
        <v>26</v>
      </c>
      <c r="K133" s="40">
        <v>5000</v>
      </c>
      <c r="L133" s="65">
        <v>5</v>
      </c>
      <c r="M133" s="65"/>
      <c r="N133" s="113"/>
      <c r="O133" s="46">
        <f t="shared" si="28"/>
        <v>9.9900099900099903E-2</v>
      </c>
      <c r="P133" s="57">
        <f t="shared" si="22"/>
        <v>0.1</v>
      </c>
      <c r="Q133" s="26"/>
      <c r="R133" s="25"/>
      <c r="S133" s="27"/>
      <c r="T133" s="28"/>
      <c r="U133" s="28"/>
      <c r="V133" s="63"/>
      <c r="W133" s="64"/>
      <c r="X133" s="63"/>
      <c r="AF133" s="17">
        <f t="shared" ref="AF133:AF194" si="32">+IF(A133&lt;&gt;0,A133,IF(AND(A133="",AE133=1),"",AF132))</f>
        <v>46225</v>
      </c>
    </row>
    <row r="134" spans="1:32" s="58" customFormat="1" ht="24" customHeight="1" x14ac:dyDescent="0.3">
      <c r="A134" s="59"/>
      <c r="B134" s="49"/>
      <c r="C134" s="49"/>
      <c r="D134" s="50" t="s">
        <v>72</v>
      </c>
      <c r="E134" s="51" t="s">
        <v>22</v>
      </c>
      <c r="F134" s="52">
        <f t="shared" si="31"/>
        <v>14991</v>
      </c>
      <c r="G134" s="60">
        <v>35750</v>
      </c>
      <c r="H134" s="52">
        <f t="shared" si="30"/>
        <v>27409</v>
      </c>
      <c r="I134" s="50"/>
      <c r="J134" s="39" t="s">
        <v>23</v>
      </c>
      <c r="K134" s="77">
        <f>21200+2100</f>
        <v>23300</v>
      </c>
      <c r="L134" s="65">
        <v>12</v>
      </c>
      <c r="M134" s="65">
        <v>20</v>
      </c>
      <c r="N134" s="113"/>
      <c r="O134" s="46">
        <f t="shared" si="28"/>
        <v>0.13715069432539004</v>
      </c>
      <c r="P134" s="57">
        <f t="shared" si="22"/>
        <v>5.1502145922746788E-2</v>
      </c>
      <c r="Q134" s="26"/>
      <c r="R134" s="25"/>
      <c r="S134" s="27"/>
      <c r="T134" s="28"/>
      <c r="U134" s="28"/>
      <c r="V134" s="63"/>
      <c r="W134" s="64"/>
      <c r="X134" s="63"/>
      <c r="AF134" s="17">
        <f t="shared" si="32"/>
        <v>46225</v>
      </c>
    </row>
    <row r="135" spans="1:32" s="58" customFormat="1" ht="24" customHeight="1" x14ac:dyDescent="0.3">
      <c r="A135" s="59"/>
      <c r="B135" s="49" t="s">
        <v>27</v>
      </c>
      <c r="C135" s="49" t="s">
        <v>20</v>
      </c>
      <c r="D135" s="50" t="s">
        <v>72</v>
      </c>
      <c r="E135" s="51" t="s">
        <v>22</v>
      </c>
      <c r="F135" s="52">
        <f>H134</f>
        <v>27409</v>
      </c>
      <c r="G135" s="60"/>
      <c r="H135" s="52">
        <f t="shared" si="30"/>
        <v>15205</v>
      </c>
      <c r="I135" s="50"/>
      <c r="J135" s="39" t="s">
        <v>23</v>
      </c>
      <c r="K135" s="40">
        <v>12200</v>
      </c>
      <c r="L135" s="65">
        <v>4</v>
      </c>
      <c r="M135" s="65"/>
      <c r="N135" s="113"/>
      <c r="O135" s="46">
        <f>(L135+M135)/(K135+L135+M135)*100</f>
        <v>3.277613897082924E-2</v>
      </c>
      <c r="P135" s="57">
        <f>L135/K135*100</f>
        <v>3.2786885245901641E-2</v>
      </c>
      <c r="Q135" s="26"/>
      <c r="R135" s="25"/>
      <c r="S135" s="27"/>
      <c r="T135" s="28"/>
      <c r="U135" s="28"/>
      <c r="V135" s="63"/>
      <c r="W135" s="64"/>
      <c r="X135" s="63"/>
      <c r="AF135" s="17">
        <f t="shared" si="32"/>
        <v>46225</v>
      </c>
    </row>
    <row r="136" spans="1:32" s="117" customFormat="1" ht="24" customHeight="1" x14ac:dyDescent="0.3">
      <c r="A136" s="59"/>
      <c r="B136" s="49"/>
      <c r="C136" s="49"/>
      <c r="D136" s="50"/>
      <c r="E136" s="51"/>
      <c r="F136" s="52"/>
      <c r="G136" s="60"/>
      <c r="H136" s="52"/>
      <c r="I136" s="50"/>
      <c r="J136" s="39"/>
      <c r="K136" s="40"/>
      <c r="L136" s="50"/>
      <c r="M136" s="50"/>
      <c r="N136" s="113"/>
      <c r="O136" s="100" t="e">
        <f t="shared" si="28"/>
        <v>#DIV/0!</v>
      </c>
      <c r="P136" s="101" t="e">
        <f t="shared" si="22"/>
        <v>#DIV/0!</v>
      </c>
      <c r="Q136" s="114"/>
      <c r="R136" s="103"/>
      <c r="S136" s="104"/>
      <c r="T136" s="105"/>
      <c r="U136" s="105"/>
      <c r="V136" s="115"/>
      <c r="W136" s="116"/>
      <c r="X136" s="115"/>
      <c r="AF136" s="17">
        <f t="shared" si="32"/>
        <v>46225</v>
      </c>
    </row>
    <row r="137" spans="1:32" s="58" customFormat="1" ht="24" customHeight="1" x14ac:dyDescent="0.3">
      <c r="A137" s="59">
        <v>46226</v>
      </c>
      <c r="B137" s="49" t="s">
        <v>19</v>
      </c>
      <c r="C137" s="49" t="s">
        <v>28</v>
      </c>
      <c r="D137" s="50" t="s">
        <v>72</v>
      </c>
      <c r="E137" s="51" t="s">
        <v>22</v>
      </c>
      <c r="F137" s="52">
        <f>H135</f>
        <v>15205</v>
      </c>
      <c r="G137" s="60"/>
      <c r="H137" s="52">
        <f t="shared" ref="H137:H139" si="33">F137+G137-K137-L137-M137</f>
        <v>0</v>
      </c>
      <c r="I137" s="50"/>
      <c r="J137" s="39" t="s">
        <v>23</v>
      </c>
      <c r="K137" s="40">
        <v>15200</v>
      </c>
      <c r="L137" s="50">
        <v>5</v>
      </c>
      <c r="M137" s="50"/>
      <c r="N137" s="113"/>
      <c r="O137" s="46">
        <f t="shared" si="28"/>
        <v>3.2883919763235778E-2</v>
      </c>
      <c r="P137" s="57">
        <f t="shared" si="22"/>
        <v>3.2894736842105261E-2</v>
      </c>
      <c r="Q137" s="26"/>
      <c r="R137" s="25"/>
      <c r="S137" s="27"/>
      <c r="T137" s="28"/>
      <c r="U137" s="28"/>
      <c r="V137" s="63"/>
      <c r="W137" s="64"/>
      <c r="X137" s="63"/>
      <c r="AF137" s="17">
        <f t="shared" si="32"/>
        <v>46226</v>
      </c>
    </row>
    <row r="138" spans="1:32" s="58" customFormat="1" ht="24" customHeight="1" x14ac:dyDescent="0.3">
      <c r="A138" s="59"/>
      <c r="B138" s="49"/>
      <c r="C138" s="49"/>
      <c r="D138" s="50" t="s">
        <v>76</v>
      </c>
      <c r="E138" s="51" t="s">
        <v>22</v>
      </c>
      <c r="F138" s="52"/>
      <c r="G138" s="60">
        <f>53500-140</f>
        <v>53360</v>
      </c>
      <c r="H138" s="52">
        <f t="shared" si="33"/>
        <v>37849</v>
      </c>
      <c r="I138" s="50"/>
      <c r="J138" s="39" t="s">
        <v>23</v>
      </c>
      <c r="K138" s="40">
        <f>9000+6500</f>
        <v>15500</v>
      </c>
      <c r="L138" s="50">
        <v>11</v>
      </c>
      <c r="M138" s="50"/>
      <c r="N138" s="113" t="s">
        <v>77</v>
      </c>
      <c r="O138" s="46">
        <f t="shared" si="28"/>
        <v>7.09174134485204E-2</v>
      </c>
      <c r="P138" s="57">
        <f t="shared" si="22"/>
        <v>7.0967741935483872E-2</v>
      </c>
      <c r="Q138" s="26"/>
      <c r="R138" s="25"/>
      <c r="S138" s="27"/>
      <c r="T138" s="28"/>
      <c r="U138" s="28"/>
      <c r="V138" s="63"/>
      <c r="W138" s="64"/>
      <c r="X138" s="63"/>
      <c r="AF138" s="17">
        <f t="shared" si="32"/>
        <v>46226</v>
      </c>
    </row>
    <row r="139" spans="1:32" s="58" customFormat="1" ht="24" customHeight="1" x14ac:dyDescent="0.3">
      <c r="A139" s="59"/>
      <c r="B139" s="49"/>
      <c r="C139" s="49"/>
      <c r="D139" s="50" t="s">
        <v>24</v>
      </c>
      <c r="E139" s="51" t="s">
        <v>25</v>
      </c>
      <c r="F139" s="52">
        <f>H133</f>
        <v>3133</v>
      </c>
      <c r="G139" s="60"/>
      <c r="H139" s="52">
        <f t="shared" si="33"/>
        <v>1603</v>
      </c>
      <c r="I139" s="50"/>
      <c r="J139" s="39" t="s">
        <v>26</v>
      </c>
      <c r="K139" s="40">
        <f>1250+280</f>
        <v>1530</v>
      </c>
      <c r="L139" s="50"/>
      <c r="M139" s="50"/>
      <c r="N139" s="113"/>
      <c r="O139" s="46">
        <f t="shared" si="28"/>
        <v>0</v>
      </c>
      <c r="P139" s="57">
        <f t="shared" si="22"/>
        <v>0</v>
      </c>
      <c r="Q139" s="26"/>
      <c r="R139" s="25"/>
      <c r="S139" s="27"/>
      <c r="T139" s="28"/>
      <c r="U139" s="28"/>
      <c r="V139" s="63"/>
      <c r="W139" s="64"/>
      <c r="X139" s="63"/>
      <c r="AF139" s="17"/>
    </row>
    <row r="140" spans="1:32" s="58" customFormat="1" ht="24" customHeight="1" x14ac:dyDescent="0.3">
      <c r="A140" s="59"/>
      <c r="B140" s="49"/>
      <c r="C140" s="49"/>
      <c r="D140" s="50"/>
      <c r="E140" s="51"/>
      <c r="F140" s="52"/>
      <c r="G140" s="60"/>
      <c r="H140" s="52"/>
      <c r="I140" s="50"/>
      <c r="J140" s="39" t="s">
        <v>78</v>
      </c>
      <c r="K140" s="40">
        <f>205+410+205+205</f>
        <v>1025</v>
      </c>
      <c r="L140" s="50"/>
      <c r="M140" s="50"/>
      <c r="N140" s="113"/>
      <c r="O140" s="46"/>
      <c r="P140" s="57">
        <f t="shared" si="22"/>
        <v>0</v>
      </c>
      <c r="Q140" s="26"/>
      <c r="R140" s="25"/>
      <c r="S140" s="27"/>
      <c r="T140" s="28"/>
      <c r="U140" s="28"/>
      <c r="V140" s="63"/>
      <c r="W140" s="64"/>
      <c r="X140" s="63"/>
      <c r="AF140" s="17">
        <f>+IF(A140&lt;&gt;0,A140,IF(AND(A140="",AE140=1),"",AF138))</f>
        <v>46226</v>
      </c>
    </row>
    <row r="141" spans="1:32" s="58" customFormat="1" ht="24" customHeight="1" x14ac:dyDescent="0.3">
      <c r="A141" s="59"/>
      <c r="B141" s="49" t="s">
        <v>27</v>
      </c>
      <c r="C141" s="49" t="s">
        <v>20</v>
      </c>
      <c r="D141" s="50" t="s">
        <v>76</v>
      </c>
      <c r="E141" s="51" t="s">
        <v>22</v>
      </c>
      <c r="F141" s="52">
        <f>H138</f>
        <v>37849</v>
      </c>
      <c r="G141" s="60"/>
      <c r="H141" s="52">
        <f t="shared" ref="H141" si="34">F141+G141-K141-L141-M141</f>
        <v>16128</v>
      </c>
      <c r="I141" s="50"/>
      <c r="J141" s="39" t="s">
        <v>23</v>
      </c>
      <c r="K141" s="40">
        <v>21700</v>
      </c>
      <c r="L141" s="50">
        <v>6</v>
      </c>
      <c r="M141" s="50">
        <v>15</v>
      </c>
      <c r="N141" s="113"/>
      <c r="O141" s="46"/>
      <c r="P141" s="57"/>
      <c r="Q141" s="26"/>
      <c r="R141" s="25"/>
      <c r="S141" s="27"/>
      <c r="T141" s="28"/>
      <c r="U141" s="28"/>
      <c r="V141" s="63"/>
      <c r="W141" s="64"/>
      <c r="X141" s="63"/>
      <c r="AF141" s="17">
        <f t="shared" si="32"/>
        <v>46226</v>
      </c>
    </row>
    <row r="142" spans="1:32" s="58" customFormat="1" ht="24" customHeight="1" x14ac:dyDescent="0.3">
      <c r="A142" s="59"/>
      <c r="B142" s="49"/>
      <c r="C142" s="49"/>
      <c r="D142" s="50"/>
      <c r="E142" s="51"/>
      <c r="F142" s="52"/>
      <c r="G142" s="60"/>
      <c r="H142" s="52"/>
      <c r="I142" s="50"/>
      <c r="J142" s="39"/>
      <c r="K142" s="40"/>
      <c r="L142" s="50"/>
      <c r="M142" s="50"/>
      <c r="N142" s="113"/>
      <c r="O142" s="46" t="e">
        <f t="shared" si="28"/>
        <v>#DIV/0!</v>
      </c>
      <c r="P142" s="57" t="e">
        <f t="shared" si="22"/>
        <v>#DIV/0!</v>
      </c>
      <c r="Q142" s="26"/>
      <c r="R142" s="25"/>
      <c r="S142" s="27"/>
      <c r="T142" s="28"/>
      <c r="U142" s="28"/>
      <c r="V142" s="63"/>
      <c r="W142" s="64"/>
      <c r="X142" s="63"/>
      <c r="AF142" s="17">
        <f t="shared" si="32"/>
        <v>46226</v>
      </c>
    </row>
    <row r="143" spans="1:32" s="58" customFormat="1" ht="24" customHeight="1" x14ac:dyDescent="0.3">
      <c r="A143" s="59"/>
      <c r="B143" s="49"/>
      <c r="C143" s="49"/>
      <c r="D143" s="50"/>
      <c r="E143" s="51"/>
      <c r="F143" s="52"/>
      <c r="G143" s="60"/>
      <c r="H143" s="52"/>
      <c r="I143" s="50"/>
      <c r="J143" s="39"/>
      <c r="K143" s="40"/>
      <c r="L143" s="50"/>
      <c r="M143" s="50"/>
      <c r="N143" s="113"/>
      <c r="O143" s="46"/>
      <c r="P143" s="57" t="e">
        <f t="shared" si="22"/>
        <v>#DIV/0!</v>
      </c>
      <c r="Q143" s="26"/>
      <c r="R143" s="25"/>
      <c r="S143" s="27"/>
      <c r="T143" s="28"/>
      <c r="U143" s="28"/>
      <c r="V143" s="63"/>
      <c r="W143" s="64"/>
      <c r="X143" s="63"/>
      <c r="AF143" s="17">
        <f t="shared" si="32"/>
        <v>46226</v>
      </c>
    </row>
    <row r="144" spans="1:32" s="58" customFormat="1" ht="24" customHeight="1" x14ac:dyDescent="0.3">
      <c r="A144" s="59"/>
      <c r="B144" s="49"/>
      <c r="C144" s="49"/>
      <c r="D144" s="50"/>
      <c r="E144" s="51"/>
      <c r="F144" s="52"/>
      <c r="G144" s="60"/>
      <c r="H144" s="52"/>
      <c r="I144" s="50"/>
      <c r="J144" s="39"/>
      <c r="K144" s="40"/>
      <c r="L144" s="50"/>
      <c r="M144" s="50"/>
      <c r="N144" s="113"/>
      <c r="O144" s="46"/>
      <c r="P144" s="57" t="e">
        <f t="shared" si="22"/>
        <v>#DIV/0!</v>
      </c>
      <c r="Q144" s="26"/>
      <c r="R144" s="25"/>
      <c r="S144" s="27"/>
      <c r="T144" s="28"/>
      <c r="U144" s="28"/>
      <c r="V144" s="63"/>
      <c r="W144" s="64"/>
      <c r="X144" s="63"/>
      <c r="AF144" s="17">
        <f t="shared" si="32"/>
        <v>46226</v>
      </c>
    </row>
    <row r="145" spans="1:32" s="58" customFormat="1" ht="24" customHeight="1" x14ac:dyDescent="0.3">
      <c r="A145" s="59"/>
      <c r="B145" s="49"/>
      <c r="C145" s="49"/>
      <c r="D145" s="50"/>
      <c r="E145" s="51"/>
      <c r="F145" s="52"/>
      <c r="G145" s="60"/>
      <c r="H145" s="52"/>
      <c r="I145" s="50"/>
      <c r="J145" s="39"/>
      <c r="K145" s="40"/>
      <c r="L145" s="50"/>
      <c r="M145" s="50"/>
      <c r="N145" s="113"/>
      <c r="O145" s="46"/>
      <c r="P145" s="57" t="e">
        <f t="shared" si="22"/>
        <v>#DIV/0!</v>
      </c>
      <c r="Q145" s="26"/>
      <c r="R145" s="25"/>
      <c r="S145" s="27"/>
      <c r="T145" s="28"/>
      <c r="U145" s="28"/>
      <c r="V145" s="63"/>
      <c r="W145" s="64"/>
      <c r="X145" s="63"/>
      <c r="AF145" s="17">
        <f t="shared" si="32"/>
        <v>46226</v>
      </c>
    </row>
    <row r="146" spans="1:32" s="58" customFormat="1" ht="24" customHeight="1" x14ac:dyDescent="0.3">
      <c r="A146" s="59"/>
      <c r="B146" s="49"/>
      <c r="C146" s="49"/>
      <c r="D146" s="50"/>
      <c r="E146" s="51"/>
      <c r="F146" s="52"/>
      <c r="G146" s="60"/>
      <c r="H146" s="52"/>
      <c r="I146" s="50"/>
      <c r="J146" s="39"/>
      <c r="K146" s="40"/>
      <c r="L146" s="50"/>
      <c r="M146" s="50"/>
      <c r="N146" s="113"/>
      <c r="O146" s="46"/>
      <c r="P146" s="57" t="e">
        <f t="shared" si="22"/>
        <v>#DIV/0!</v>
      </c>
      <c r="Q146" s="26"/>
      <c r="R146" s="25"/>
      <c r="S146" s="27"/>
      <c r="T146" s="28"/>
      <c r="U146" s="28"/>
      <c r="V146" s="63"/>
      <c r="W146" s="64"/>
      <c r="X146" s="63"/>
      <c r="AF146" s="17">
        <f t="shared" si="32"/>
        <v>46226</v>
      </c>
    </row>
    <row r="147" spans="1:32" s="58" customFormat="1" ht="24" customHeight="1" x14ac:dyDescent="0.3">
      <c r="A147" s="59"/>
      <c r="B147" s="49"/>
      <c r="C147" s="49"/>
      <c r="D147" s="50"/>
      <c r="E147" s="51"/>
      <c r="F147" s="52"/>
      <c r="G147" s="60"/>
      <c r="H147" s="52"/>
      <c r="I147" s="50"/>
      <c r="J147" s="96"/>
      <c r="K147" s="40"/>
      <c r="L147" s="50"/>
      <c r="M147" s="50"/>
      <c r="N147" s="113"/>
      <c r="O147" s="46"/>
      <c r="P147" s="57" t="e">
        <f t="shared" si="22"/>
        <v>#DIV/0!</v>
      </c>
      <c r="Q147" s="26"/>
      <c r="R147" s="25"/>
      <c r="S147" s="27"/>
      <c r="T147" s="28"/>
      <c r="U147" s="28"/>
      <c r="V147" s="63"/>
      <c r="W147" s="64"/>
      <c r="X147" s="63"/>
      <c r="AF147" s="17">
        <f t="shared" si="32"/>
        <v>46226</v>
      </c>
    </row>
    <row r="148" spans="1:32" s="58" customFormat="1" ht="24" customHeight="1" x14ac:dyDescent="0.3">
      <c r="A148" s="59"/>
      <c r="B148" s="49"/>
      <c r="C148" s="49"/>
      <c r="D148" s="50"/>
      <c r="E148" s="51"/>
      <c r="F148" s="52"/>
      <c r="G148" s="60"/>
      <c r="H148" s="52"/>
      <c r="I148" s="50"/>
      <c r="J148" s="39"/>
      <c r="K148" s="40"/>
      <c r="L148" s="50"/>
      <c r="M148" s="50"/>
      <c r="N148" s="113"/>
      <c r="O148" s="46"/>
      <c r="P148" s="57" t="e">
        <f t="shared" si="22"/>
        <v>#DIV/0!</v>
      </c>
      <c r="Q148" s="26"/>
      <c r="R148" s="25"/>
      <c r="S148" s="27"/>
      <c r="T148" s="28"/>
      <c r="U148" s="28"/>
      <c r="V148" s="63"/>
      <c r="W148" s="64"/>
      <c r="X148" s="63"/>
      <c r="AF148" s="17">
        <f t="shared" si="32"/>
        <v>46226</v>
      </c>
    </row>
    <row r="149" spans="1:32" s="58" customFormat="1" ht="24" customHeight="1" x14ac:dyDescent="0.3">
      <c r="A149" s="59"/>
      <c r="B149" s="49"/>
      <c r="C149" s="49"/>
      <c r="D149" s="50"/>
      <c r="E149" s="51"/>
      <c r="F149" s="52"/>
      <c r="G149" s="60"/>
      <c r="H149" s="52"/>
      <c r="I149" s="50"/>
      <c r="J149" s="118"/>
      <c r="K149" s="40"/>
      <c r="L149" s="50"/>
      <c r="M149" s="50"/>
      <c r="N149" s="113"/>
      <c r="O149" s="46"/>
      <c r="P149" s="57" t="e">
        <f t="shared" si="22"/>
        <v>#DIV/0!</v>
      </c>
      <c r="Q149" s="26"/>
      <c r="R149" s="25"/>
      <c r="S149" s="27"/>
      <c r="T149" s="28"/>
      <c r="U149" s="28"/>
      <c r="V149" s="63"/>
      <c r="W149" s="64"/>
      <c r="X149" s="63"/>
      <c r="AF149" s="17">
        <f t="shared" si="32"/>
        <v>46226</v>
      </c>
    </row>
    <row r="150" spans="1:32" s="58" customFormat="1" ht="24" customHeight="1" x14ac:dyDescent="0.3">
      <c r="A150" s="59"/>
      <c r="B150" s="49"/>
      <c r="C150" s="49"/>
      <c r="D150" s="50"/>
      <c r="E150" s="51"/>
      <c r="F150" s="52"/>
      <c r="G150" s="60"/>
      <c r="H150" s="52"/>
      <c r="I150" s="50"/>
      <c r="J150" s="39"/>
      <c r="K150" s="40"/>
      <c r="L150" s="50"/>
      <c r="M150" s="50"/>
      <c r="N150" s="113"/>
      <c r="O150" s="46" t="e">
        <f t="shared" si="28"/>
        <v>#DIV/0!</v>
      </c>
      <c r="P150" s="57" t="e">
        <f t="shared" si="22"/>
        <v>#DIV/0!</v>
      </c>
      <c r="Q150" s="26"/>
      <c r="R150" s="25"/>
      <c r="S150" s="27"/>
      <c r="T150" s="28"/>
      <c r="U150" s="28"/>
      <c r="V150" s="63"/>
      <c r="W150" s="64"/>
      <c r="X150" s="63"/>
      <c r="AF150" s="17">
        <f t="shared" si="32"/>
        <v>46226</v>
      </c>
    </row>
    <row r="151" spans="1:32" s="58" customFormat="1" ht="24" customHeight="1" x14ac:dyDescent="0.3">
      <c r="A151" s="59"/>
      <c r="B151" s="49"/>
      <c r="C151" s="49"/>
      <c r="D151" s="50"/>
      <c r="E151" s="51"/>
      <c r="F151" s="52"/>
      <c r="G151" s="60"/>
      <c r="H151" s="52"/>
      <c r="I151" s="50"/>
      <c r="J151" s="118"/>
      <c r="K151" s="40"/>
      <c r="L151" s="50"/>
      <c r="M151" s="50"/>
      <c r="N151" s="113"/>
      <c r="O151" s="46" t="e">
        <f t="shared" si="28"/>
        <v>#DIV/0!</v>
      </c>
      <c r="P151" s="57" t="e">
        <f t="shared" si="22"/>
        <v>#DIV/0!</v>
      </c>
      <c r="Q151" s="26"/>
      <c r="R151" s="25"/>
      <c r="S151" s="27"/>
      <c r="T151" s="28"/>
      <c r="U151" s="28"/>
      <c r="V151" s="63"/>
      <c r="W151" s="64"/>
      <c r="X151" s="63"/>
      <c r="AF151" s="17">
        <f t="shared" si="32"/>
        <v>46226</v>
      </c>
    </row>
    <row r="152" spans="1:32" s="58" customFormat="1" ht="24" customHeight="1" x14ac:dyDescent="0.3">
      <c r="A152" s="59"/>
      <c r="B152" s="49"/>
      <c r="C152" s="49"/>
      <c r="D152" s="50"/>
      <c r="E152" s="51"/>
      <c r="F152" s="52"/>
      <c r="G152" s="60"/>
      <c r="H152" s="52"/>
      <c r="I152" s="50"/>
      <c r="J152" s="39"/>
      <c r="K152" s="40"/>
      <c r="L152" s="65"/>
      <c r="M152" s="65"/>
      <c r="N152" s="113"/>
      <c r="O152" s="46" t="e">
        <f t="shared" si="28"/>
        <v>#DIV/0!</v>
      </c>
      <c r="P152" s="57" t="e">
        <f t="shared" si="22"/>
        <v>#DIV/0!</v>
      </c>
      <c r="Q152" s="26"/>
      <c r="R152" s="25"/>
      <c r="S152" s="27"/>
      <c r="T152" s="28"/>
      <c r="U152" s="28"/>
      <c r="V152" s="63"/>
      <c r="W152" s="64"/>
      <c r="X152" s="63"/>
      <c r="AF152" s="17">
        <f t="shared" si="32"/>
        <v>46226</v>
      </c>
    </row>
    <row r="153" spans="1:32" s="58" customFormat="1" ht="25.5" customHeight="1" x14ac:dyDescent="0.3">
      <c r="A153" s="59"/>
      <c r="B153" s="49"/>
      <c r="C153" s="49"/>
      <c r="D153" s="50"/>
      <c r="E153" s="51"/>
      <c r="F153" s="52"/>
      <c r="G153" s="60"/>
      <c r="H153" s="52"/>
      <c r="I153" s="50"/>
      <c r="J153" s="39"/>
      <c r="K153" s="40"/>
      <c r="L153" s="65"/>
      <c r="M153" s="65"/>
      <c r="N153" s="113"/>
      <c r="O153" s="46" t="e">
        <f t="shared" si="28"/>
        <v>#DIV/0!</v>
      </c>
      <c r="P153" s="57" t="e">
        <f t="shared" si="22"/>
        <v>#DIV/0!</v>
      </c>
      <c r="Q153" s="26"/>
      <c r="R153" s="25"/>
      <c r="S153" s="27"/>
      <c r="T153" s="28"/>
      <c r="U153" s="28"/>
      <c r="V153" s="63"/>
      <c r="W153" s="64"/>
      <c r="X153" s="63"/>
      <c r="AF153" s="17">
        <f t="shared" si="32"/>
        <v>46226</v>
      </c>
    </row>
    <row r="154" spans="1:32" s="58" customFormat="1" ht="25.5" customHeight="1" x14ac:dyDescent="0.3">
      <c r="A154" s="59"/>
      <c r="B154" s="49"/>
      <c r="C154" s="49"/>
      <c r="D154" s="50"/>
      <c r="E154" s="51"/>
      <c r="F154" s="52"/>
      <c r="G154" s="60"/>
      <c r="H154" s="52"/>
      <c r="I154" s="50"/>
      <c r="J154" s="39"/>
      <c r="K154" s="40"/>
      <c r="L154" s="65"/>
      <c r="M154" s="65"/>
      <c r="N154" s="113"/>
      <c r="O154" s="46" t="e">
        <f t="shared" si="28"/>
        <v>#DIV/0!</v>
      </c>
      <c r="P154" s="57" t="e">
        <f t="shared" si="22"/>
        <v>#DIV/0!</v>
      </c>
      <c r="Q154" s="26"/>
      <c r="R154" s="25"/>
      <c r="S154" s="27"/>
      <c r="T154" s="28"/>
      <c r="U154" s="28"/>
      <c r="V154" s="63"/>
      <c r="W154" s="64"/>
      <c r="X154" s="63"/>
      <c r="AF154" s="17">
        <f t="shared" si="32"/>
        <v>46226</v>
      </c>
    </row>
    <row r="155" spans="1:32" s="58" customFormat="1" ht="25.5" customHeight="1" x14ac:dyDescent="0.3">
      <c r="A155" s="59"/>
      <c r="B155" s="49"/>
      <c r="C155" s="49"/>
      <c r="D155" s="50"/>
      <c r="E155" s="51"/>
      <c r="F155" s="52"/>
      <c r="G155" s="60"/>
      <c r="H155" s="52"/>
      <c r="I155" s="50"/>
      <c r="J155" s="39"/>
      <c r="K155" s="40"/>
      <c r="L155" s="65"/>
      <c r="M155" s="65"/>
      <c r="N155" s="113"/>
      <c r="O155" s="46" t="e">
        <f t="shared" si="28"/>
        <v>#DIV/0!</v>
      </c>
      <c r="P155" s="57" t="e">
        <f t="shared" si="22"/>
        <v>#DIV/0!</v>
      </c>
      <c r="Q155" s="26"/>
      <c r="R155" s="25"/>
      <c r="S155" s="27"/>
      <c r="T155" s="28"/>
      <c r="U155" s="28"/>
      <c r="V155" s="63"/>
      <c r="W155" s="64"/>
      <c r="X155" s="63"/>
      <c r="AF155" s="17">
        <f t="shared" si="32"/>
        <v>46226</v>
      </c>
    </row>
    <row r="156" spans="1:32" s="58" customFormat="1" ht="25.5" customHeight="1" x14ac:dyDescent="0.3">
      <c r="A156" s="59"/>
      <c r="B156" s="49"/>
      <c r="C156" s="49"/>
      <c r="D156" s="50"/>
      <c r="E156" s="51"/>
      <c r="F156" s="52"/>
      <c r="G156" s="60"/>
      <c r="H156" s="52"/>
      <c r="I156" s="50"/>
      <c r="J156" s="76"/>
      <c r="K156" s="40"/>
      <c r="L156" s="65"/>
      <c r="M156" s="65"/>
      <c r="N156" s="113"/>
      <c r="O156" s="46">
        <f>9160+4650+11604+5230</f>
        <v>30644</v>
      </c>
      <c r="P156" s="57"/>
      <c r="Q156" s="26"/>
      <c r="R156" s="25"/>
      <c r="S156" s="27"/>
      <c r="T156" s="28"/>
      <c r="U156" s="28"/>
      <c r="V156" s="63"/>
      <c r="W156" s="64"/>
      <c r="X156" s="63"/>
      <c r="AF156" s="17">
        <f t="shared" si="32"/>
        <v>46226</v>
      </c>
    </row>
    <row r="157" spans="1:32" s="58" customFormat="1" ht="25.5" customHeight="1" x14ac:dyDescent="0.3">
      <c r="A157" s="59"/>
      <c r="B157" s="49"/>
      <c r="C157" s="49"/>
      <c r="D157" s="50"/>
      <c r="E157" s="51"/>
      <c r="F157" s="52"/>
      <c r="G157" s="60"/>
      <c r="H157" s="52"/>
      <c r="I157" s="50"/>
      <c r="J157" s="37"/>
      <c r="K157" s="40"/>
      <c r="L157" s="65"/>
      <c r="M157" s="65"/>
      <c r="N157" s="113"/>
      <c r="O157" s="46"/>
      <c r="P157" s="57"/>
      <c r="Q157" s="26"/>
      <c r="R157" s="25"/>
      <c r="S157" s="27"/>
      <c r="T157" s="28"/>
      <c r="U157" s="28"/>
      <c r="V157" s="63"/>
      <c r="W157" s="64"/>
      <c r="X157" s="63"/>
      <c r="AF157" s="17">
        <f t="shared" si="32"/>
        <v>46226</v>
      </c>
    </row>
    <row r="158" spans="1:32" s="58" customFormat="1" ht="25.5" customHeight="1" x14ac:dyDescent="0.3">
      <c r="A158" s="59"/>
      <c r="B158" s="49"/>
      <c r="C158" s="49"/>
      <c r="D158" s="50"/>
      <c r="E158" s="51"/>
      <c r="F158" s="52"/>
      <c r="G158" s="60"/>
      <c r="H158" s="52"/>
      <c r="I158" s="50"/>
      <c r="J158" s="39"/>
      <c r="K158" s="40"/>
      <c r="L158" s="65"/>
      <c r="M158" s="65"/>
      <c r="N158" s="113"/>
      <c r="O158" s="46"/>
      <c r="P158" s="57"/>
      <c r="Q158" s="26"/>
      <c r="R158" s="25"/>
      <c r="S158" s="27"/>
      <c r="T158" s="28"/>
      <c r="U158" s="28"/>
      <c r="V158" s="63"/>
      <c r="W158" s="64"/>
      <c r="X158" s="63"/>
      <c r="AF158" s="17">
        <f t="shared" si="32"/>
        <v>46226</v>
      </c>
    </row>
    <row r="159" spans="1:32" s="58" customFormat="1" ht="25.5" customHeight="1" x14ac:dyDescent="0.3">
      <c r="A159" s="59"/>
      <c r="B159" s="49"/>
      <c r="C159" s="49"/>
      <c r="D159" s="50"/>
      <c r="E159" s="51"/>
      <c r="F159" s="52"/>
      <c r="G159" s="60"/>
      <c r="H159" s="52"/>
      <c r="I159" s="50"/>
      <c r="J159" s="39"/>
      <c r="K159" s="40"/>
      <c r="L159" s="65"/>
      <c r="M159" s="65"/>
      <c r="N159" s="113"/>
      <c r="O159" s="46" t="e">
        <f>(L159+M159)/(K159+L159+M159)*100</f>
        <v>#DIV/0!</v>
      </c>
      <c r="P159" s="57" t="e">
        <f t="shared" ref="P159:P168" si="35">L159/K159*100</f>
        <v>#DIV/0!</v>
      </c>
      <c r="Q159" s="26"/>
      <c r="R159" s="25"/>
      <c r="S159" s="27"/>
      <c r="T159" s="28"/>
      <c r="U159" s="28"/>
      <c r="V159" s="63"/>
      <c r="W159" s="64"/>
      <c r="X159" s="63"/>
      <c r="AF159" s="17">
        <f t="shared" si="32"/>
        <v>46226</v>
      </c>
    </row>
    <row r="160" spans="1:32" s="58" customFormat="1" ht="25.5" customHeight="1" x14ac:dyDescent="0.3">
      <c r="A160" s="59"/>
      <c r="B160" s="49"/>
      <c r="C160" s="49"/>
      <c r="D160" s="50"/>
      <c r="E160" s="51"/>
      <c r="F160" s="52"/>
      <c r="G160" s="60"/>
      <c r="H160" s="52"/>
      <c r="I160" s="50"/>
      <c r="J160" s="39"/>
      <c r="K160" s="40"/>
      <c r="L160" s="65"/>
      <c r="M160" s="65"/>
      <c r="N160" s="113"/>
      <c r="O160" s="46"/>
      <c r="P160" s="57"/>
      <c r="Q160" s="26"/>
      <c r="R160" s="25"/>
      <c r="S160" s="27"/>
      <c r="T160" s="28"/>
      <c r="U160" s="28"/>
      <c r="V160" s="63"/>
      <c r="W160" s="64"/>
      <c r="X160" s="63"/>
      <c r="AF160" s="17"/>
    </row>
    <row r="161" spans="1:32" s="58" customFormat="1" ht="25.5" customHeight="1" x14ac:dyDescent="0.3">
      <c r="A161" s="59"/>
      <c r="B161" s="49"/>
      <c r="C161" s="49"/>
      <c r="D161" s="50"/>
      <c r="E161" s="51"/>
      <c r="F161" s="52"/>
      <c r="G161" s="60"/>
      <c r="H161" s="52"/>
      <c r="I161" s="50"/>
      <c r="J161" s="39"/>
      <c r="K161" s="40"/>
      <c r="L161" s="65"/>
      <c r="M161" s="65"/>
      <c r="N161" s="113"/>
      <c r="O161" s="46" t="e">
        <f>(L161+M161)/(K161+L161+M161)*100</f>
        <v>#DIV/0!</v>
      </c>
      <c r="P161" s="57" t="e">
        <f t="shared" si="35"/>
        <v>#DIV/0!</v>
      </c>
      <c r="Q161" s="26"/>
      <c r="R161" s="25"/>
      <c r="S161" s="27"/>
      <c r="T161" s="28"/>
      <c r="U161" s="28"/>
      <c r="V161" s="63"/>
      <c r="W161" s="64"/>
      <c r="X161" s="63"/>
      <c r="AF161" s="17">
        <f>+IF(A161&lt;&gt;0,A161,IF(AND(A161="",AE161=1),"",AF159))</f>
        <v>46226</v>
      </c>
    </row>
    <row r="162" spans="1:32" s="58" customFormat="1" ht="25.5" customHeight="1" x14ac:dyDescent="0.3">
      <c r="A162" s="59"/>
      <c r="B162" s="49"/>
      <c r="C162" s="49"/>
      <c r="D162" s="50"/>
      <c r="E162" s="51"/>
      <c r="F162" s="52"/>
      <c r="G162" s="60"/>
      <c r="H162" s="52"/>
      <c r="I162" s="50"/>
      <c r="J162" s="39"/>
      <c r="K162" s="40"/>
      <c r="L162" s="65"/>
      <c r="M162" s="65"/>
      <c r="N162" s="113"/>
      <c r="O162" s="46"/>
      <c r="P162" s="57"/>
      <c r="Q162" s="26"/>
      <c r="R162" s="25"/>
      <c r="S162" s="27"/>
      <c r="T162" s="28"/>
      <c r="U162" s="28"/>
      <c r="V162" s="63"/>
      <c r="W162" s="64"/>
      <c r="X162" s="63"/>
      <c r="AF162" s="17">
        <f t="shared" si="32"/>
        <v>46226</v>
      </c>
    </row>
    <row r="163" spans="1:32" s="58" customFormat="1" ht="25.5" customHeight="1" x14ac:dyDescent="0.3">
      <c r="A163" s="59"/>
      <c r="B163" s="49"/>
      <c r="C163" s="49"/>
      <c r="D163" s="50"/>
      <c r="E163" s="51"/>
      <c r="F163" s="52"/>
      <c r="G163" s="60"/>
      <c r="H163" s="52"/>
      <c r="I163" s="50"/>
      <c r="J163" s="54"/>
      <c r="K163" s="40"/>
      <c r="L163" s="65"/>
      <c r="M163" s="65"/>
      <c r="N163" s="113"/>
      <c r="O163" s="46">
        <f>1100+1100+900+5000+530</f>
        <v>8630</v>
      </c>
      <c r="P163" s="65">
        <f>1300+4450+600</f>
        <v>6350</v>
      </c>
      <c r="Q163" s="65">
        <v>7</v>
      </c>
      <c r="R163" s="65">
        <v>9</v>
      </c>
      <c r="S163" s="27"/>
      <c r="T163" s="28"/>
      <c r="U163" s="28"/>
      <c r="V163" s="63"/>
      <c r="W163" s="64"/>
      <c r="X163" s="63"/>
      <c r="AF163" s="17">
        <f t="shared" si="32"/>
        <v>46226</v>
      </c>
    </row>
    <row r="164" spans="1:32" s="58" customFormat="1" ht="25.5" customHeight="1" x14ac:dyDescent="0.3">
      <c r="A164" s="59"/>
      <c r="B164" s="49"/>
      <c r="C164" s="49"/>
      <c r="D164" s="50"/>
      <c r="E164" s="51"/>
      <c r="F164" s="52"/>
      <c r="G164" s="60"/>
      <c r="H164" s="52"/>
      <c r="I164" s="50"/>
      <c r="J164" s="39"/>
      <c r="K164" s="40"/>
      <c r="L164" s="65"/>
      <c r="M164" s="65"/>
      <c r="N164" s="113"/>
      <c r="O164" s="46"/>
      <c r="P164" s="119"/>
      <c r="Q164" s="119"/>
      <c r="R164" s="119"/>
      <c r="S164" s="27"/>
      <c r="T164" s="28"/>
      <c r="U164" s="28"/>
      <c r="V164" s="63"/>
      <c r="W164" s="64"/>
      <c r="X164" s="63"/>
      <c r="AF164" s="17">
        <f t="shared" si="32"/>
        <v>46226</v>
      </c>
    </row>
    <row r="165" spans="1:32" s="58" customFormat="1" ht="25.5" customHeight="1" x14ac:dyDescent="0.3">
      <c r="A165" s="59"/>
      <c r="B165" s="49"/>
      <c r="C165" s="49"/>
      <c r="D165" s="50"/>
      <c r="E165" s="51"/>
      <c r="F165" s="52"/>
      <c r="G165" s="60"/>
      <c r="H165" s="52"/>
      <c r="I165" s="50"/>
      <c r="J165" s="39"/>
      <c r="K165" s="40"/>
      <c r="L165" s="65"/>
      <c r="M165" s="65"/>
      <c r="N165" s="113"/>
      <c r="O165" s="46"/>
      <c r="P165" s="57"/>
      <c r="Q165" s="26"/>
      <c r="R165" s="25"/>
      <c r="S165" s="27"/>
      <c r="T165" s="28"/>
      <c r="U165" s="28"/>
      <c r="V165" s="63"/>
      <c r="W165" s="64"/>
      <c r="X165" s="63"/>
      <c r="AF165" s="17">
        <f t="shared" si="32"/>
        <v>46226</v>
      </c>
    </row>
    <row r="166" spans="1:32" s="58" customFormat="1" ht="25.5" customHeight="1" x14ac:dyDescent="0.3">
      <c r="A166" s="59"/>
      <c r="B166" s="49"/>
      <c r="C166" s="49"/>
      <c r="D166" s="50"/>
      <c r="E166" s="51"/>
      <c r="F166" s="52"/>
      <c r="G166" s="60"/>
      <c r="H166" s="52"/>
      <c r="I166" s="50"/>
      <c r="J166" s="39"/>
      <c r="K166" s="40"/>
      <c r="L166" s="65"/>
      <c r="M166" s="65"/>
      <c r="N166" s="113"/>
      <c r="O166" s="46"/>
      <c r="P166" s="57"/>
      <c r="Q166" s="26"/>
      <c r="R166" s="25"/>
      <c r="S166" s="27"/>
      <c r="T166" s="28"/>
      <c r="U166" s="28"/>
      <c r="V166" s="63"/>
      <c r="W166" s="64"/>
      <c r="X166" s="63"/>
      <c r="AF166" s="17">
        <f t="shared" si="32"/>
        <v>46226</v>
      </c>
    </row>
    <row r="167" spans="1:32" s="58" customFormat="1" ht="25.5" customHeight="1" x14ac:dyDescent="0.3">
      <c r="A167" s="59"/>
      <c r="B167" s="49"/>
      <c r="C167" s="49"/>
      <c r="D167" s="50"/>
      <c r="E167" s="51"/>
      <c r="F167" s="52"/>
      <c r="G167" s="60"/>
      <c r="H167" s="52"/>
      <c r="I167" s="50"/>
      <c r="J167" s="39"/>
      <c r="K167" s="40"/>
      <c r="L167" s="65"/>
      <c r="M167" s="65"/>
      <c r="N167" s="113"/>
      <c r="O167" s="46" t="e">
        <f>(L167+M167)/(K167+L167+M167)*100</f>
        <v>#DIV/0!</v>
      </c>
      <c r="P167" s="57" t="e">
        <f>L167/K167*100</f>
        <v>#DIV/0!</v>
      </c>
      <c r="Q167" s="26"/>
      <c r="R167" s="25"/>
      <c r="S167" s="27"/>
      <c r="T167" s="28"/>
      <c r="U167" s="28"/>
      <c r="V167" s="63"/>
      <c r="W167" s="64"/>
      <c r="X167" s="63"/>
      <c r="AF167" s="17">
        <f t="shared" si="32"/>
        <v>46226</v>
      </c>
    </row>
    <row r="168" spans="1:32" s="58" customFormat="1" ht="25.5" customHeight="1" x14ac:dyDescent="0.3">
      <c r="A168" s="59"/>
      <c r="B168" s="49"/>
      <c r="C168" s="49"/>
      <c r="D168" s="50"/>
      <c r="E168" s="51"/>
      <c r="F168" s="52"/>
      <c r="G168" s="60"/>
      <c r="H168" s="52"/>
      <c r="I168" s="50"/>
      <c r="J168" s="39"/>
      <c r="K168" s="40"/>
      <c r="L168" s="65"/>
      <c r="M168" s="65"/>
      <c r="N168" s="113"/>
      <c r="O168" s="46">
        <f>1100+1100+900+5000+530</f>
        <v>8630</v>
      </c>
      <c r="P168" s="65">
        <f>1300+4450+600</f>
        <v>6350</v>
      </c>
      <c r="Q168" s="65">
        <v>7</v>
      </c>
      <c r="R168" s="65">
        <v>9</v>
      </c>
      <c r="S168" s="27"/>
      <c r="T168" s="28"/>
      <c r="U168" s="28"/>
      <c r="V168" s="63"/>
      <c r="W168" s="64"/>
      <c r="X168" s="63"/>
      <c r="AF168" s="17">
        <f>+IF(A168&lt;&gt;0,A168,IF(AND(A168="",AE168=1),"",AF167))</f>
        <v>46226</v>
      </c>
    </row>
    <row r="169" spans="1:32" s="58" customFormat="1" ht="25.5" customHeight="1" x14ac:dyDescent="0.3">
      <c r="A169" s="59"/>
      <c r="B169" s="49"/>
      <c r="C169" s="49"/>
      <c r="D169" s="50"/>
      <c r="E169" s="51"/>
      <c r="F169" s="52"/>
      <c r="G169" s="60"/>
      <c r="H169" s="52"/>
      <c r="I169" s="50"/>
      <c r="J169" s="39"/>
      <c r="K169" s="40"/>
      <c r="L169" s="65"/>
      <c r="M169" s="65"/>
      <c r="N169" s="113"/>
      <c r="O169" s="46"/>
      <c r="P169" s="119"/>
      <c r="Q169" s="119"/>
      <c r="R169" s="119"/>
      <c r="S169" s="27"/>
      <c r="T169" s="28"/>
      <c r="U169" s="28"/>
      <c r="V169" s="63"/>
      <c r="W169" s="64"/>
      <c r="X169" s="63"/>
      <c r="AF169" s="17"/>
    </row>
    <row r="170" spans="1:32" s="58" customFormat="1" ht="25.5" customHeight="1" x14ac:dyDescent="0.3">
      <c r="A170" s="59"/>
      <c r="B170" s="49"/>
      <c r="C170" s="49"/>
      <c r="D170" s="50"/>
      <c r="E170" s="51"/>
      <c r="F170" s="52"/>
      <c r="G170" s="60"/>
      <c r="H170" s="52"/>
      <c r="I170" s="50"/>
      <c r="J170" s="39"/>
      <c r="K170" s="40"/>
      <c r="L170" s="65"/>
      <c r="M170" s="65"/>
      <c r="N170" s="113"/>
      <c r="O170" s="46"/>
      <c r="P170" s="119"/>
      <c r="Q170" s="119"/>
      <c r="R170" s="119"/>
      <c r="S170" s="27"/>
      <c r="T170" s="28"/>
      <c r="U170" s="28"/>
      <c r="V170" s="63"/>
      <c r="W170" s="64"/>
      <c r="X170" s="63"/>
      <c r="AF170" s="17">
        <f>+IF(A170&lt;&gt;0,A170,IF(AND(A170="",AE170=1),"",AF168))</f>
        <v>46226</v>
      </c>
    </row>
    <row r="171" spans="1:32" s="58" customFormat="1" ht="25.5" customHeight="1" x14ac:dyDescent="0.3">
      <c r="A171" s="59"/>
      <c r="B171" s="49"/>
      <c r="C171" s="49"/>
      <c r="D171" s="50"/>
      <c r="E171" s="51"/>
      <c r="F171" s="52"/>
      <c r="G171" s="60"/>
      <c r="H171" s="52"/>
      <c r="I171" s="50"/>
      <c r="J171" s="39"/>
      <c r="K171" s="40"/>
      <c r="L171" s="65"/>
      <c r="M171" s="65"/>
      <c r="N171" s="113"/>
      <c r="O171" s="46"/>
      <c r="P171" s="57"/>
      <c r="Q171" s="26"/>
      <c r="R171" s="25"/>
      <c r="S171" s="27"/>
      <c r="T171" s="28"/>
      <c r="U171" s="28"/>
      <c r="V171" s="63"/>
      <c r="W171" s="64"/>
      <c r="X171" s="63"/>
      <c r="AF171" s="17">
        <f>+IF(A171&lt;&gt;0,A171,IF(AND(A171="",AE171=1),"",AF170))</f>
        <v>46226</v>
      </c>
    </row>
    <row r="172" spans="1:32" s="58" customFormat="1" ht="25.5" customHeight="1" x14ac:dyDescent="0.3">
      <c r="A172" s="59"/>
      <c r="B172" s="49"/>
      <c r="C172" s="49"/>
      <c r="D172" s="50"/>
      <c r="E172" s="51"/>
      <c r="F172" s="52"/>
      <c r="G172" s="60"/>
      <c r="H172" s="52"/>
      <c r="I172" s="50"/>
      <c r="J172" s="39"/>
      <c r="K172" s="40"/>
      <c r="L172" s="65"/>
      <c r="M172" s="65"/>
      <c r="N172" s="113"/>
      <c r="O172" s="46"/>
      <c r="P172" s="57"/>
      <c r="Q172" s="26"/>
      <c r="R172" s="25"/>
      <c r="S172" s="27"/>
      <c r="T172" s="28"/>
      <c r="U172" s="28"/>
      <c r="V172" s="63"/>
      <c r="W172" s="64"/>
      <c r="X172" s="63"/>
      <c r="AF172" s="17">
        <f>+IF(A172&lt;&gt;0,A172,IF(AND(A172="",AE172=1),"",AF171))</f>
        <v>46226</v>
      </c>
    </row>
    <row r="173" spans="1:32" s="58" customFormat="1" ht="25.5" customHeight="1" x14ac:dyDescent="0.3">
      <c r="A173" s="59"/>
      <c r="B173" s="49"/>
      <c r="C173" s="49"/>
      <c r="D173" s="50"/>
      <c r="E173" s="51"/>
      <c r="F173" s="52"/>
      <c r="G173" s="60"/>
      <c r="H173" s="52"/>
      <c r="I173" s="50"/>
      <c r="J173" s="39"/>
      <c r="K173" s="40"/>
      <c r="L173" s="65"/>
      <c r="M173" s="65"/>
      <c r="N173" s="113"/>
      <c r="O173" s="46" t="e">
        <f>(L173+M173)/(K173+L173+M173)*100</f>
        <v>#DIV/0!</v>
      </c>
      <c r="P173" s="57" t="e">
        <f>L173/K173*100</f>
        <v>#DIV/0!</v>
      </c>
      <c r="Q173" s="26"/>
      <c r="R173" s="25"/>
      <c r="S173" s="27"/>
      <c r="T173" s="28"/>
      <c r="U173" s="28"/>
      <c r="V173" s="63"/>
      <c r="W173" s="64"/>
      <c r="X173" s="63"/>
      <c r="AF173" s="17">
        <f t="shared" si="32"/>
        <v>46226</v>
      </c>
    </row>
    <row r="174" spans="1:32" s="58" customFormat="1" ht="25.5" customHeight="1" x14ac:dyDescent="0.3">
      <c r="A174" s="59"/>
      <c r="B174" s="49"/>
      <c r="C174" s="49"/>
      <c r="D174" s="50"/>
      <c r="E174" s="51"/>
      <c r="F174" s="52"/>
      <c r="G174" s="60"/>
      <c r="H174" s="52"/>
      <c r="I174" s="50"/>
      <c r="J174" s="39"/>
      <c r="K174" s="40"/>
      <c r="L174" s="65"/>
      <c r="M174" s="65"/>
      <c r="N174" s="113"/>
      <c r="O174" s="46"/>
      <c r="P174" s="57"/>
      <c r="Q174" s="26"/>
      <c r="R174" s="25"/>
      <c r="S174" s="27"/>
      <c r="T174" s="28"/>
      <c r="U174" s="28"/>
      <c r="V174" s="63"/>
      <c r="W174" s="64"/>
      <c r="X174" s="63"/>
      <c r="AF174" s="17">
        <f t="shared" si="32"/>
        <v>46226</v>
      </c>
    </row>
    <row r="175" spans="1:32" s="58" customFormat="1" ht="25.5" customHeight="1" x14ac:dyDescent="0.3">
      <c r="A175" s="59"/>
      <c r="B175" s="49"/>
      <c r="C175" s="49"/>
      <c r="D175" s="50"/>
      <c r="E175" s="51"/>
      <c r="F175" s="52"/>
      <c r="G175" s="60"/>
      <c r="H175" s="52"/>
      <c r="I175" s="50"/>
      <c r="J175" s="39"/>
      <c r="K175" s="40"/>
      <c r="L175" s="65"/>
      <c r="M175" s="65"/>
      <c r="N175" s="113"/>
      <c r="O175" s="46"/>
      <c r="P175" s="57"/>
      <c r="Q175" s="26"/>
      <c r="R175" s="25"/>
      <c r="S175" s="27"/>
      <c r="T175" s="28"/>
      <c r="U175" s="28"/>
      <c r="V175" s="63"/>
      <c r="W175" s="64"/>
      <c r="X175" s="63"/>
      <c r="AF175" s="17" t="e">
        <f>+IF(A175&lt;&gt;0,A175,IF(AND(A175="",AE175=1),"",#REF!))</f>
        <v>#REF!</v>
      </c>
    </row>
    <row r="176" spans="1:32" s="58" customFormat="1" ht="25.5" customHeight="1" x14ac:dyDescent="0.3">
      <c r="A176" s="59"/>
      <c r="B176" s="49"/>
      <c r="C176" s="49"/>
      <c r="D176" s="50"/>
      <c r="E176" s="51"/>
      <c r="F176" s="52"/>
      <c r="G176" s="60"/>
      <c r="H176" s="52"/>
      <c r="I176" s="50"/>
      <c r="J176" s="120"/>
      <c r="K176" s="40"/>
      <c r="L176" s="65"/>
      <c r="M176" s="65"/>
      <c r="N176" s="113"/>
      <c r="O176" s="46"/>
      <c r="P176" s="57"/>
      <c r="Q176" s="26"/>
      <c r="R176" s="25"/>
      <c r="S176" s="27"/>
      <c r="T176" s="28"/>
      <c r="U176" s="28"/>
      <c r="V176" s="63"/>
      <c r="W176" s="64"/>
      <c r="X176" s="63"/>
      <c r="AF176" s="17" t="e">
        <f t="shared" si="32"/>
        <v>#REF!</v>
      </c>
    </row>
    <row r="177" spans="1:32" s="58" customFormat="1" ht="25.5" customHeight="1" x14ac:dyDescent="0.3">
      <c r="A177" s="59"/>
      <c r="B177" s="49"/>
      <c r="C177" s="49"/>
      <c r="D177" s="50"/>
      <c r="E177" s="51"/>
      <c r="F177" s="52"/>
      <c r="G177" s="60"/>
      <c r="H177" s="52"/>
      <c r="I177" s="50"/>
      <c r="J177" s="39"/>
      <c r="K177" s="40"/>
      <c r="L177" s="65"/>
      <c r="M177" s="65"/>
      <c r="N177" s="113"/>
      <c r="O177" s="46"/>
      <c r="P177" s="57"/>
      <c r="Q177" s="26"/>
      <c r="R177" s="25"/>
      <c r="S177" s="27"/>
      <c r="T177" s="28"/>
      <c r="U177" s="28"/>
      <c r="V177" s="63"/>
      <c r="W177" s="64"/>
      <c r="X177" s="63"/>
      <c r="AF177" s="17" t="e">
        <f t="shared" si="32"/>
        <v>#REF!</v>
      </c>
    </row>
    <row r="178" spans="1:32" s="58" customFormat="1" ht="25.5" customHeight="1" x14ac:dyDescent="0.3">
      <c r="A178" s="59"/>
      <c r="B178" s="49"/>
      <c r="C178" s="49"/>
      <c r="D178" s="50"/>
      <c r="E178" s="51"/>
      <c r="F178" s="52"/>
      <c r="G178" s="60"/>
      <c r="H178" s="52"/>
      <c r="I178" s="50"/>
      <c r="J178" s="120"/>
      <c r="K178" s="40"/>
      <c r="L178" s="65"/>
      <c r="M178" s="65"/>
      <c r="N178" s="113"/>
      <c r="O178" s="46" t="e">
        <f>(L178+M178)/(K178+L178+M178)*100</f>
        <v>#DIV/0!</v>
      </c>
      <c r="P178" s="57" t="e">
        <f>L178/K178*100</f>
        <v>#DIV/0!</v>
      </c>
      <c r="Q178" s="26"/>
      <c r="R178" s="25"/>
      <c r="S178" s="27"/>
      <c r="T178" s="28"/>
      <c r="U178" s="28"/>
      <c r="V178" s="63"/>
      <c r="W178" s="64"/>
      <c r="X178" s="63"/>
      <c r="AF178" s="17" t="e">
        <f t="shared" si="32"/>
        <v>#REF!</v>
      </c>
    </row>
    <row r="179" spans="1:32" s="58" customFormat="1" ht="25.5" customHeight="1" x14ac:dyDescent="0.3">
      <c r="A179" s="59"/>
      <c r="B179" s="49"/>
      <c r="C179" s="49"/>
      <c r="D179" s="50"/>
      <c r="E179" s="51"/>
      <c r="F179" s="52"/>
      <c r="G179" s="60"/>
      <c r="H179" s="52"/>
      <c r="I179" s="50"/>
      <c r="J179" s="39"/>
      <c r="K179" s="40"/>
      <c r="L179" s="65"/>
      <c r="M179" s="65"/>
      <c r="N179" s="113"/>
      <c r="O179" s="46"/>
      <c r="P179" s="57"/>
      <c r="Q179" s="26"/>
      <c r="R179" s="25"/>
      <c r="S179" s="27"/>
      <c r="T179" s="28"/>
      <c r="U179" s="28"/>
      <c r="V179" s="63"/>
      <c r="W179" s="64"/>
      <c r="X179" s="63"/>
      <c r="AF179" s="17" t="e">
        <f>+IF(A179&lt;&gt;0,A179,IF(AND(A179="",AE179=1),"",AF178))</f>
        <v>#REF!</v>
      </c>
    </row>
    <row r="180" spans="1:32" s="58" customFormat="1" ht="25.5" customHeight="1" x14ac:dyDescent="0.3">
      <c r="A180" s="59"/>
      <c r="B180" s="49"/>
      <c r="C180" s="49"/>
      <c r="D180" s="50"/>
      <c r="E180" s="51"/>
      <c r="F180" s="52"/>
      <c r="G180" s="60"/>
      <c r="H180" s="52"/>
      <c r="I180" s="50"/>
      <c r="J180" s="39"/>
      <c r="K180" s="40"/>
      <c r="L180" s="65"/>
      <c r="M180" s="65"/>
      <c r="N180" s="113"/>
      <c r="O180" s="46"/>
      <c r="P180" s="57"/>
      <c r="Q180" s="26"/>
      <c r="R180" s="25"/>
      <c r="S180" s="27"/>
      <c r="T180" s="28"/>
      <c r="U180" s="28"/>
      <c r="V180" s="63"/>
      <c r="W180" s="64"/>
      <c r="X180" s="63"/>
      <c r="AF180" s="17" t="e">
        <f>+IF(A180&lt;&gt;0,A180,IF(AND(A180="",AE180=1),"",#REF!))</f>
        <v>#REF!</v>
      </c>
    </row>
    <row r="181" spans="1:32" s="58" customFormat="1" ht="25.5" customHeight="1" x14ac:dyDescent="0.3">
      <c r="A181" s="59"/>
      <c r="B181" s="49"/>
      <c r="C181" s="49"/>
      <c r="D181" s="50"/>
      <c r="E181" s="51"/>
      <c r="F181" s="52"/>
      <c r="G181" s="60"/>
      <c r="H181" s="52"/>
      <c r="I181" s="50"/>
      <c r="J181" s="39"/>
      <c r="K181" s="40"/>
      <c r="L181" s="65"/>
      <c r="M181" s="65"/>
      <c r="N181" s="113"/>
      <c r="O181" s="46"/>
      <c r="P181" s="57"/>
      <c r="Q181" s="26"/>
      <c r="R181" s="25"/>
      <c r="S181" s="27"/>
      <c r="T181" s="28"/>
      <c r="U181" s="28"/>
      <c r="V181" s="63"/>
      <c r="W181" s="64"/>
      <c r="X181" s="63"/>
      <c r="AF181" s="17" t="e">
        <f t="shared" si="32"/>
        <v>#REF!</v>
      </c>
    </row>
    <row r="182" spans="1:32" s="58" customFormat="1" ht="25.5" customHeight="1" x14ac:dyDescent="0.3">
      <c r="A182" s="59"/>
      <c r="B182" s="49"/>
      <c r="C182" s="49"/>
      <c r="D182" s="50"/>
      <c r="E182" s="51"/>
      <c r="F182" s="52"/>
      <c r="G182" s="60"/>
      <c r="H182" s="52"/>
      <c r="I182" s="50"/>
      <c r="J182" s="39"/>
      <c r="K182" s="40"/>
      <c r="L182" s="65"/>
      <c r="M182" s="65"/>
      <c r="N182" s="113"/>
      <c r="O182" s="46"/>
      <c r="P182" s="57"/>
      <c r="Q182" s="26"/>
      <c r="R182" s="25"/>
      <c r="S182" s="27"/>
      <c r="T182" s="28"/>
      <c r="U182" s="28"/>
      <c r="V182" s="63"/>
      <c r="W182" s="64"/>
      <c r="X182" s="63"/>
      <c r="AF182" s="17" t="e">
        <f t="shared" si="32"/>
        <v>#REF!</v>
      </c>
    </row>
    <row r="183" spans="1:32" s="58" customFormat="1" ht="25.5" customHeight="1" x14ac:dyDescent="0.3">
      <c r="A183" s="59"/>
      <c r="B183" s="49"/>
      <c r="C183" s="49"/>
      <c r="D183" s="50"/>
      <c r="E183" s="51"/>
      <c r="F183" s="52"/>
      <c r="G183" s="60"/>
      <c r="H183" s="52"/>
      <c r="I183" s="50"/>
      <c r="J183" s="39"/>
      <c r="K183" s="40"/>
      <c r="L183" s="65"/>
      <c r="M183" s="65"/>
      <c r="N183" s="113"/>
      <c r="O183" s="46">
        <f>5850+800</f>
        <v>6650</v>
      </c>
      <c r="P183" s="57"/>
      <c r="Q183" s="26"/>
      <c r="R183" s="25"/>
      <c r="S183" s="27"/>
      <c r="T183" s="28"/>
      <c r="U183" s="28"/>
      <c r="V183" s="63"/>
      <c r="W183" s="64"/>
      <c r="X183" s="63"/>
      <c r="AF183" s="17" t="e">
        <f t="shared" si="32"/>
        <v>#REF!</v>
      </c>
    </row>
    <row r="184" spans="1:32" s="58" customFormat="1" ht="25.5" customHeight="1" x14ac:dyDescent="0.3">
      <c r="A184" s="59"/>
      <c r="B184" s="49"/>
      <c r="C184" s="49"/>
      <c r="D184" s="50"/>
      <c r="E184" s="51"/>
      <c r="F184" s="52"/>
      <c r="G184" s="60"/>
      <c r="H184" s="52"/>
      <c r="I184" s="50"/>
      <c r="J184" s="54"/>
      <c r="K184" s="40"/>
      <c r="L184" s="65"/>
      <c r="M184" s="65"/>
      <c r="N184" s="113"/>
      <c r="O184" s="46"/>
      <c r="P184" s="57"/>
      <c r="Q184" s="26"/>
      <c r="R184" s="25"/>
      <c r="S184" s="27"/>
      <c r="T184" s="28"/>
      <c r="U184" s="28"/>
      <c r="V184" s="63"/>
      <c r="W184" s="64"/>
      <c r="X184" s="63"/>
      <c r="AF184" s="17"/>
    </row>
    <row r="185" spans="1:32" s="58" customFormat="1" ht="25.5" customHeight="1" x14ac:dyDescent="0.3">
      <c r="A185" s="59"/>
      <c r="B185" s="49"/>
      <c r="C185" s="49"/>
      <c r="D185" s="50"/>
      <c r="E185" s="51"/>
      <c r="F185" s="52"/>
      <c r="G185" s="60"/>
      <c r="H185" s="52"/>
      <c r="I185" s="50"/>
      <c r="J185" s="39"/>
      <c r="K185" s="40"/>
      <c r="L185" s="65"/>
      <c r="M185" s="65"/>
      <c r="N185" s="113"/>
      <c r="O185" s="46">
        <f>5850+800</f>
        <v>6650</v>
      </c>
      <c r="P185" s="57"/>
      <c r="Q185" s="26"/>
      <c r="R185" s="25"/>
      <c r="S185" s="27"/>
      <c r="T185" s="28"/>
      <c r="U185" s="28"/>
      <c r="V185" s="63"/>
      <c r="W185" s="64"/>
      <c r="X185" s="63"/>
      <c r="AF185" s="17" t="e">
        <f>+IF(A185&lt;&gt;0,A185,IF(AND(A185="",AE185=1),"",AF183))</f>
        <v>#REF!</v>
      </c>
    </row>
    <row r="186" spans="1:32" s="58" customFormat="1" ht="25.5" customHeight="1" x14ac:dyDescent="0.3">
      <c r="A186" s="59"/>
      <c r="B186" s="49"/>
      <c r="C186" s="49"/>
      <c r="D186" s="50"/>
      <c r="E186" s="51"/>
      <c r="F186" s="52"/>
      <c r="G186" s="60"/>
      <c r="H186" s="52"/>
      <c r="I186" s="50"/>
      <c r="J186" s="39"/>
      <c r="K186" s="40"/>
      <c r="L186" s="65"/>
      <c r="M186" s="65"/>
      <c r="N186" s="113"/>
      <c r="O186" s="46"/>
      <c r="P186" s="57"/>
      <c r="Q186" s="26"/>
      <c r="R186" s="25"/>
      <c r="S186" s="27"/>
      <c r="T186" s="28"/>
      <c r="U186" s="28"/>
      <c r="V186" s="63"/>
      <c r="W186" s="64"/>
      <c r="X186" s="63"/>
      <c r="AF186" s="17" t="e">
        <f>+IF(A186&lt;&gt;0,A186,IF(AND(A186="",AE186=1),"",AF183))</f>
        <v>#REF!</v>
      </c>
    </row>
    <row r="187" spans="1:32" s="58" customFormat="1" ht="25.5" customHeight="1" x14ac:dyDescent="0.3">
      <c r="A187" s="59"/>
      <c r="B187" s="49"/>
      <c r="C187" s="49"/>
      <c r="D187" s="50"/>
      <c r="E187" s="51"/>
      <c r="F187" s="52"/>
      <c r="G187" s="60"/>
      <c r="H187" s="52"/>
      <c r="I187" s="50"/>
      <c r="J187" s="54"/>
      <c r="K187" s="40"/>
      <c r="L187" s="65"/>
      <c r="M187" s="65"/>
      <c r="N187" s="113"/>
      <c r="O187" s="46"/>
      <c r="P187" s="57"/>
      <c r="Q187" s="26"/>
      <c r="R187" s="25"/>
      <c r="S187" s="27"/>
      <c r="T187" s="28"/>
      <c r="U187" s="28"/>
      <c r="V187" s="63"/>
      <c r="W187" s="64"/>
      <c r="X187" s="63"/>
      <c r="AF187" s="17" t="e">
        <f t="shared" si="32"/>
        <v>#REF!</v>
      </c>
    </row>
    <row r="188" spans="1:32" s="58" customFormat="1" ht="25.5" customHeight="1" x14ac:dyDescent="0.3">
      <c r="A188" s="59"/>
      <c r="B188" s="49"/>
      <c r="C188" s="49"/>
      <c r="D188" s="50"/>
      <c r="E188" s="51"/>
      <c r="F188" s="52"/>
      <c r="G188" s="60"/>
      <c r="H188" s="52"/>
      <c r="I188" s="50"/>
      <c r="J188" s="37"/>
      <c r="K188" s="73"/>
      <c r="L188" s="65"/>
      <c r="M188" s="65"/>
      <c r="N188" s="121"/>
      <c r="O188" s="46"/>
      <c r="P188" s="57"/>
      <c r="Q188" s="26"/>
      <c r="R188" s="25"/>
      <c r="S188" s="27"/>
      <c r="T188" s="28"/>
      <c r="U188" s="28"/>
      <c r="V188" s="63"/>
      <c r="W188" s="64"/>
      <c r="X188" s="63"/>
      <c r="AF188" s="17" t="e">
        <f t="shared" si="32"/>
        <v>#REF!</v>
      </c>
    </row>
    <row r="189" spans="1:32" s="130" customFormat="1" ht="25.5" customHeight="1" x14ac:dyDescent="0.3">
      <c r="A189" s="59"/>
      <c r="B189" s="49"/>
      <c r="C189" s="49"/>
      <c r="D189" s="50"/>
      <c r="E189" s="51"/>
      <c r="F189" s="52"/>
      <c r="G189" s="60"/>
      <c r="H189" s="52"/>
      <c r="I189" s="50"/>
      <c r="J189" s="37"/>
      <c r="K189" s="40"/>
      <c r="L189" s="65"/>
      <c r="M189" s="65"/>
      <c r="N189" s="113"/>
      <c r="O189" s="122"/>
      <c r="P189" s="123"/>
      <c r="Q189" s="124"/>
      <c r="R189" s="125"/>
      <c r="S189" s="126"/>
      <c r="T189" s="127"/>
      <c r="U189" s="127"/>
      <c r="V189" s="128"/>
      <c r="W189" s="129"/>
      <c r="X189" s="128"/>
      <c r="AF189" s="17" t="e">
        <f t="shared" si="32"/>
        <v>#REF!</v>
      </c>
    </row>
    <row r="190" spans="1:32" s="58" customFormat="1" ht="25.5" customHeight="1" x14ac:dyDescent="0.3">
      <c r="A190" s="59"/>
      <c r="B190" s="49"/>
      <c r="C190" s="49"/>
      <c r="D190" s="50"/>
      <c r="E190" s="51"/>
      <c r="F190" s="52"/>
      <c r="G190" s="60"/>
      <c r="H190" s="52"/>
      <c r="I190" s="50"/>
      <c r="J190" s="37"/>
      <c r="K190" s="40"/>
      <c r="L190" s="65"/>
      <c r="M190" s="65"/>
      <c r="N190" s="113"/>
      <c r="O190" s="46" t="e">
        <f>(L190+M190)/(K190+L190+M190)*100</f>
        <v>#DIV/0!</v>
      </c>
      <c r="P190" s="57" t="e">
        <f>L190/K190*100</f>
        <v>#DIV/0!</v>
      </c>
      <c r="Q190" s="26"/>
      <c r="R190" s="25"/>
      <c r="S190" s="27"/>
      <c r="T190" s="28"/>
      <c r="U190" s="28"/>
      <c r="V190" s="63"/>
      <c r="W190" s="64"/>
      <c r="X190" s="63"/>
      <c r="AF190" s="17" t="e">
        <f t="shared" si="32"/>
        <v>#REF!</v>
      </c>
    </row>
    <row r="191" spans="1:32" s="58" customFormat="1" ht="25.5" customHeight="1" x14ac:dyDescent="0.3">
      <c r="A191" s="59"/>
      <c r="B191" s="49"/>
      <c r="C191" s="49"/>
      <c r="D191" s="50"/>
      <c r="E191" s="51"/>
      <c r="F191" s="52"/>
      <c r="G191" s="60"/>
      <c r="H191" s="52"/>
      <c r="I191" s="50"/>
      <c r="J191" s="37"/>
      <c r="K191" s="131"/>
      <c r="L191" s="65"/>
      <c r="M191" s="65"/>
      <c r="N191" s="113"/>
      <c r="O191" s="46" t="e">
        <f>(L191+M191)/(K191+L191+M191)*100</f>
        <v>#DIV/0!</v>
      </c>
      <c r="P191" s="57" t="e">
        <f>L191/K191*100</f>
        <v>#DIV/0!</v>
      </c>
      <c r="Q191" s="26"/>
      <c r="R191" s="25"/>
      <c r="S191" s="27"/>
      <c r="T191" s="28"/>
      <c r="U191" s="28"/>
      <c r="V191" s="63"/>
      <c r="W191" s="64"/>
      <c r="X191" s="63"/>
      <c r="AF191" s="17" t="e">
        <f t="shared" si="32"/>
        <v>#REF!</v>
      </c>
    </row>
    <row r="192" spans="1:32" s="58" customFormat="1" ht="25.5" customHeight="1" x14ac:dyDescent="0.3">
      <c r="A192" s="59"/>
      <c r="B192" s="49"/>
      <c r="C192" s="49"/>
      <c r="D192" s="50"/>
      <c r="E192" s="51"/>
      <c r="F192" s="52"/>
      <c r="G192" s="60"/>
      <c r="H192" s="52"/>
      <c r="I192" s="50"/>
      <c r="J192" s="39"/>
      <c r="K192" s="40"/>
      <c r="L192" s="65"/>
      <c r="M192" s="65"/>
      <c r="N192" s="113"/>
      <c r="O192" s="46" t="e">
        <f>(L192+M192)/(#REF!+L192+M192)*100</f>
        <v>#REF!</v>
      </c>
      <c r="P192" s="57" t="e">
        <f>L192/#REF!*100</f>
        <v>#REF!</v>
      </c>
      <c r="Q192" s="26"/>
      <c r="R192" s="25"/>
      <c r="S192" s="27"/>
      <c r="T192" s="28"/>
      <c r="U192" s="28"/>
      <c r="V192" s="63"/>
      <c r="W192" s="64"/>
      <c r="X192" s="63"/>
      <c r="AF192" s="17" t="e">
        <f t="shared" si="32"/>
        <v>#REF!</v>
      </c>
    </row>
    <row r="193" spans="1:32" s="58" customFormat="1" ht="25.5" customHeight="1" x14ac:dyDescent="0.3">
      <c r="A193" s="59"/>
      <c r="B193" s="49"/>
      <c r="C193" s="49"/>
      <c r="D193" s="50"/>
      <c r="E193" s="51"/>
      <c r="F193" s="52"/>
      <c r="G193" s="60"/>
      <c r="H193" s="52"/>
      <c r="I193" s="50"/>
      <c r="J193" s="37"/>
      <c r="K193" s="40"/>
      <c r="L193" s="65"/>
      <c r="M193" s="65"/>
      <c r="N193" s="113"/>
      <c r="O193" s="46" t="e">
        <f>(L193+M193)/(K193+L193+M193)*100</f>
        <v>#DIV/0!</v>
      </c>
      <c r="P193" s="57" t="e">
        <f>L193/K193*100</f>
        <v>#DIV/0!</v>
      </c>
      <c r="Q193" s="26"/>
      <c r="R193" s="25"/>
      <c r="S193" s="27"/>
      <c r="T193" s="28"/>
      <c r="U193" s="28"/>
      <c r="V193" s="63"/>
      <c r="W193" s="64"/>
      <c r="X193" s="63"/>
      <c r="AF193" s="17" t="e">
        <f t="shared" si="32"/>
        <v>#REF!</v>
      </c>
    </row>
    <row r="194" spans="1:32" s="58" customFormat="1" ht="25.5" customHeight="1" x14ac:dyDescent="0.3">
      <c r="A194" s="59"/>
      <c r="B194" s="49"/>
      <c r="C194" s="49"/>
      <c r="D194" s="50"/>
      <c r="E194" s="51"/>
      <c r="F194" s="52"/>
      <c r="G194" s="60"/>
      <c r="H194" s="52"/>
      <c r="I194" s="50"/>
      <c r="J194" s="37"/>
      <c r="K194" s="40"/>
      <c r="L194" s="65"/>
      <c r="M194" s="65"/>
      <c r="N194" s="113"/>
      <c r="O194" s="46"/>
      <c r="P194" s="57"/>
      <c r="Q194" s="26"/>
      <c r="R194" s="25"/>
      <c r="S194" s="27"/>
      <c r="T194" s="28"/>
      <c r="U194" s="28"/>
      <c r="V194" s="63"/>
      <c r="W194" s="64"/>
      <c r="X194" s="63"/>
      <c r="AF194" s="17" t="e">
        <f t="shared" si="32"/>
        <v>#REF!</v>
      </c>
    </row>
    <row r="195" spans="1:32" s="58" customFormat="1" ht="25.5" customHeight="1" x14ac:dyDescent="0.3">
      <c r="A195" s="59"/>
      <c r="B195" s="49"/>
      <c r="C195" s="49"/>
      <c r="D195" s="50"/>
      <c r="E195" s="51"/>
      <c r="F195" s="52"/>
      <c r="G195" s="60"/>
      <c r="H195" s="52"/>
      <c r="I195" s="50"/>
      <c r="J195" s="39"/>
      <c r="K195" s="73"/>
      <c r="L195" s="65"/>
      <c r="M195" s="65"/>
      <c r="N195" s="121"/>
      <c r="O195" s="46"/>
      <c r="P195" s="57"/>
      <c r="Q195" s="26"/>
      <c r="R195" s="25"/>
      <c r="S195" s="27"/>
      <c r="T195" s="28"/>
      <c r="U195" s="28"/>
      <c r="V195" s="63"/>
      <c r="W195" s="64"/>
      <c r="X195" s="63"/>
      <c r="AF195" s="17" t="e">
        <f>+IF(A195&lt;&gt;0,A195,IF(AND(A195="",AE195=1),"",AF194))</f>
        <v>#REF!</v>
      </c>
    </row>
    <row r="196" spans="1:32" s="130" customFormat="1" ht="25.5" customHeight="1" x14ac:dyDescent="0.3">
      <c r="A196" s="59"/>
      <c r="B196" s="49"/>
      <c r="C196" s="49"/>
      <c r="D196" s="50"/>
      <c r="E196" s="51"/>
      <c r="F196" s="52"/>
      <c r="G196" s="60"/>
      <c r="H196" s="52"/>
      <c r="I196" s="50"/>
      <c r="J196" s="39"/>
      <c r="K196" s="40"/>
      <c r="L196" s="65"/>
      <c r="M196" s="65"/>
      <c r="N196" s="113"/>
      <c r="O196" s="122"/>
      <c r="P196" s="123"/>
      <c r="Q196" s="124"/>
      <c r="R196" s="125"/>
      <c r="S196" s="126"/>
      <c r="T196" s="127"/>
      <c r="U196" s="127"/>
      <c r="V196" s="128"/>
      <c r="W196" s="129"/>
      <c r="X196" s="128"/>
      <c r="AF196" s="17" t="e">
        <f>+IF(A196&lt;&gt;0,A196,IF(AND(A196="",AE196=1),"",AF195))</f>
        <v>#REF!</v>
      </c>
    </row>
    <row r="197" spans="1:32" s="58" customFormat="1" ht="25.5" customHeight="1" x14ac:dyDescent="0.3">
      <c r="A197" s="59"/>
      <c r="B197" s="49"/>
      <c r="C197" s="49"/>
      <c r="D197" s="50"/>
      <c r="E197" s="51"/>
      <c r="F197" s="52"/>
      <c r="G197" s="60"/>
      <c r="H197" s="52"/>
      <c r="I197" s="50"/>
      <c r="J197" s="37"/>
      <c r="K197" s="73"/>
      <c r="L197" s="65"/>
      <c r="M197" s="65"/>
      <c r="N197" s="121"/>
      <c r="O197" s="46"/>
      <c r="P197" s="57"/>
      <c r="Q197" s="26"/>
      <c r="R197" s="25"/>
      <c r="S197" s="27"/>
      <c r="T197" s="28"/>
      <c r="U197" s="28"/>
      <c r="V197" s="63"/>
      <c r="W197" s="64"/>
      <c r="X197" s="63"/>
      <c r="AF197" s="17" t="e">
        <f>+IF(A197&lt;&gt;0,A197,IF(AND(A197="",AE197=1),"",AF196))</f>
        <v>#REF!</v>
      </c>
    </row>
    <row r="198" spans="1:32" s="58" customFormat="1" ht="25.5" customHeight="1" x14ac:dyDescent="0.3">
      <c r="A198" s="59"/>
      <c r="B198" s="49"/>
      <c r="C198" s="49"/>
      <c r="D198" s="50"/>
      <c r="E198" s="51"/>
      <c r="F198" s="52"/>
      <c r="G198" s="60"/>
      <c r="H198" s="52"/>
      <c r="I198" s="50"/>
      <c r="J198" s="37"/>
      <c r="K198" s="40"/>
      <c r="L198" s="65"/>
      <c r="M198" s="65"/>
      <c r="N198" s="113"/>
      <c r="O198" s="46" t="e">
        <f>(L198+M198)/(K198+L198+M198)*100</f>
        <v>#DIV/0!</v>
      </c>
      <c r="P198" s="58" t="e">
        <f>L198/K198*100</f>
        <v>#DIV/0!</v>
      </c>
      <c r="Q198" s="26"/>
      <c r="S198" s="27"/>
      <c r="T198" s="28"/>
      <c r="U198" s="28"/>
      <c r="V198" s="63"/>
      <c r="W198" s="64"/>
      <c r="X198" s="63"/>
      <c r="AF198" s="17" t="e">
        <f t="shared" ref="AF198:AF209" si="36">+IF(A198&lt;&gt;0,A198,IF(AND(A198="",AE198=1),"",AF197))</f>
        <v>#REF!</v>
      </c>
    </row>
    <row r="199" spans="1:32" s="58" customFormat="1" ht="25.5" customHeight="1" x14ac:dyDescent="0.3">
      <c r="A199" s="59"/>
      <c r="B199" s="49"/>
      <c r="C199" s="49"/>
      <c r="D199" s="50"/>
      <c r="E199" s="51"/>
      <c r="F199" s="52"/>
      <c r="G199" s="60"/>
      <c r="H199" s="52"/>
      <c r="I199" s="50"/>
      <c r="J199" s="54"/>
      <c r="K199" s="40"/>
      <c r="L199" s="65"/>
      <c r="M199" s="65"/>
      <c r="N199" s="113"/>
      <c r="O199" s="46" t="e">
        <f>(L199+M199)/(K199+L199+M199)*100</f>
        <v>#DIV/0!</v>
      </c>
      <c r="Q199" s="26"/>
      <c r="S199" s="27"/>
      <c r="T199" s="28"/>
      <c r="U199" s="28"/>
      <c r="V199" s="63"/>
      <c r="W199" s="64"/>
      <c r="X199" s="63"/>
      <c r="AF199" s="17" t="e">
        <f t="shared" si="36"/>
        <v>#REF!</v>
      </c>
    </row>
    <row r="200" spans="1:32" s="58" customFormat="1" ht="25.5" customHeight="1" x14ac:dyDescent="0.3">
      <c r="A200" s="59"/>
      <c r="B200" s="49"/>
      <c r="C200" s="49"/>
      <c r="D200" s="50"/>
      <c r="E200" s="51"/>
      <c r="F200" s="52"/>
      <c r="G200" s="60"/>
      <c r="H200" s="52"/>
      <c r="I200" s="50"/>
      <c r="J200" s="37"/>
      <c r="K200" s="40"/>
      <c r="L200" s="65"/>
      <c r="M200" s="65"/>
      <c r="N200" s="113"/>
      <c r="O200" s="46" t="e">
        <f>(L200+M200)/(K200+L200+M200)*100</f>
        <v>#DIV/0!</v>
      </c>
      <c r="Q200" s="26"/>
      <c r="S200" s="27"/>
      <c r="T200" s="28"/>
      <c r="U200" s="28"/>
      <c r="V200" s="63"/>
      <c r="W200" s="64"/>
      <c r="X200" s="63"/>
      <c r="AF200" s="17" t="e">
        <f t="shared" si="36"/>
        <v>#REF!</v>
      </c>
    </row>
    <row r="201" spans="1:32" s="58" customFormat="1" ht="25.5" customHeight="1" x14ac:dyDescent="0.3">
      <c r="A201" s="59"/>
      <c r="B201" s="49"/>
      <c r="C201" s="49"/>
      <c r="D201" s="50"/>
      <c r="E201" s="51"/>
      <c r="F201" s="52"/>
      <c r="G201" s="60"/>
      <c r="H201" s="52"/>
      <c r="I201" s="50"/>
      <c r="J201" s="37"/>
      <c r="K201" s="40"/>
      <c r="L201" s="65"/>
      <c r="M201" s="65"/>
      <c r="N201" s="113"/>
      <c r="O201" s="46"/>
      <c r="Q201" s="26"/>
      <c r="S201" s="27"/>
      <c r="T201" s="28"/>
      <c r="U201" s="28"/>
      <c r="V201" s="63"/>
      <c r="W201" s="64"/>
      <c r="X201" s="63"/>
      <c r="AF201" s="17" t="e">
        <f t="shared" si="36"/>
        <v>#REF!</v>
      </c>
    </row>
    <row r="202" spans="1:32" s="58" customFormat="1" ht="25.5" customHeight="1" x14ac:dyDescent="0.3">
      <c r="A202" s="59"/>
      <c r="B202" s="49"/>
      <c r="C202" s="49"/>
      <c r="D202" s="50"/>
      <c r="E202" s="51"/>
      <c r="F202" s="52"/>
      <c r="G202" s="60"/>
      <c r="H202" s="52"/>
      <c r="I202" s="50"/>
      <c r="J202" s="39"/>
      <c r="K202" s="73"/>
      <c r="L202" s="65"/>
      <c r="M202" s="65"/>
      <c r="N202" s="121"/>
      <c r="O202" s="46"/>
      <c r="P202" s="57"/>
      <c r="Q202" s="26"/>
      <c r="R202" s="25"/>
      <c r="S202" s="27"/>
      <c r="T202" s="28"/>
      <c r="U202" s="28"/>
      <c r="V202" s="63"/>
      <c r="W202" s="64"/>
      <c r="X202" s="63"/>
      <c r="AF202" s="17" t="e">
        <f t="shared" si="36"/>
        <v>#REF!</v>
      </c>
    </row>
    <row r="203" spans="1:32" s="130" customFormat="1" ht="25.5" customHeight="1" x14ac:dyDescent="0.3">
      <c r="A203" s="59"/>
      <c r="B203" s="49"/>
      <c r="C203" s="49"/>
      <c r="D203" s="50"/>
      <c r="E203" s="51"/>
      <c r="F203" s="52"/>
      <c r="G203" s="60"/>
      <c r="H203" s="52"/>
      <c r="I203" s="50"/>
      <c r="J203" s="39"/>
      <c r="K203" s="40"/>
      <c r="L203" s="65"/>
      <c r="M203" s="65"/>
      <c r="N203" s="113"/>
      <c r="O203" s="122"/>
      <c r="P203" s="123"/>
      <c r="Q203" s="124"/>
      <c r="R203" s="125"/>
      <c r="S203" s="126"/>
      <c r="T203" s="127"/>
      <c r="U203" s="127"/>
      <c r="V203" s="128"/>
      <c r="W203" s="129"/>
      <c r="X203" s="128"/>
      <c r="AF203" s="17" t="e">
        <f t="shared" si="36"/>
        <v>#REF!</v>
      </c>
    </row>
    <row r="204" spans="1:32" s="58" customFormat="1" ht="25.5" customHeight="1" x14ac:dyDescent="0.3">
      <c r="A204" s="59"/>
      <c r="B204" s="49"/>
      <c r="C204" s="49"/>
      <c r="D204" s="50"/>
      <c r="E204" s="51"/>
      <c r="F204" s="52"/>
      <c r="G204" s="60"/>
      <c r="H204" s="52"/>
      <c r="I204" s="50"/>
      <c r="J204" s="39"/>
      <c r="K204" s="40"/>
      <c r="L204" s="65"/>
      <c r="M204" s="65"/>
      <c r="N204" s="113"/>
      <c r="O204" s="46" t="e">
        <f>(L204+M204)/(K204+L204+M204)*100</f>
        <v>#DIV/0!</v>
      </c>
      <c r="Q204" s="26"/>
      <c r="S204" s="27"/>
      <c r="T204" s="28"/>
      <c r="U204" s="28"/>
      <c r="V204" s="63"/>
      <c r="W204" s="64"/>
      <c r="X204" s="63"/>
      <c r="AF204" s="17" t="e">
        <f t="shared" si="36"/>
        <v>#REF!</v>
      </c>
    </row>
    <row r="205" spans="1:32" s="58" customFormat="1" ht="25.5" customHeight="1" x14ac:dyDescent="0.3">
      <c r="A205" s="59"/>
      <c r="B205" s="49"/>
      <c r="C205" s="49"/>
      <c r="D205" s="50"/>
      <c r="E205" s="51"/>
      <c r="F205" s="52"/>
      <c r="G205" s="60"/>
      <c r="H205" s="52"/>
      <c r="I205" s="50"/>
      <c r="J205" s="37"/>
      <c r="K205" s="73"/>
      <c r="L205" s="65"/>
      <c r="M205" s="65"/>
      <c r="N205" s="121"/>
      <c r="O205" s="46"/>
      <c r="P205" s="57"/>
      <c r="Q205" s="26"/>
      <c r="R205" s="25"/>
      <c r="S205" s="27"/>
      <c r="T205" s="28"/>
      <c r="U205" s="28"/>
      <c r="V205" s="63"/>
      <c r="W205" s="64"/>
      <c r="X205" s="63"/>
      <c r="AF205" s="17" t="e">
        <f>+IF(A205&lt;&gt;0,A205,IF(AND(A205="",AE205=1),"",AF204))</f>
        <v>#REF!</v>
      </c>
    </row>
    <row r="206" spans="1:32" s="130" customFormat="1" ht="25.5" customHeight="1" x14ac:dyDescent="0.3">
      <c r="A206" s="59"/>
      <c r="B206" s="49"/>
      <c r="C206" s="49"/>
      <c r="D206" s="50"/>
      <c r="E206" s="51"/>
      <c r="F206" s="52"/>
      <c r="G206" s="60"/>
      <c r="H206" s="52"/>
      <c r="I206" s="50"/>
      <c r="J206" s="37"/>
      <c r="K206" s="73"/>
      <c r="L206" s="65"/>
      <c r="M206" s="65"/>
      <c r="N206" s="113"/>
      <c r="O206" s="122"/>
      <c r="P206" s="123"/>
      <c r="Q206" s="124"/>
      <c r="R206" s="125"/>
      <c r="S206" s="126"/>
      <c r="T206" s="127"/>
      <c r="U206" s="127"/>
      <c r="V206" s="128"/>
      <c r="W206" s="129"/>
      <c r="X206" s="128"/>
      <c r="AF206" s="17" t="e">
        <f>+IF(A206&lt;&gt;0,A206,IF(AND(A206="",AE206=1),"",AF205))</f>
        <v>#REF!</v>
      </c>
    </row>
    <row r="207" spans="1:32" s="58" customFormat="1" ht="25.5" customHeight="1" x14ac:dyDescent="0.3">
      <c r="A207" s="59"/>
      <c r="B207" s="49"/>
      <c r="C207" s="49"/>
      <c r="D207" s="50"/>
      <c r="E207" s="51"/>
      <c r="F207" s="52"/>
      <c r="G207" s="60"/>
      <c r="H207" s="52"/>
      <c r="I207" s="50"/>
      <c r="J207" s="37"/>
      <c r="K207" s="40"/>
      <c r="L207" s="65"/>
      <c r="M207" s="65"/>
      <c r="N207" s="113"/>
      <c r="O207" s="46" t="e">
        <f>(L207+M207)/(K207+L207+M207)*100</f>
        <v>#DIV/0!</v>
      </c>
      <c r="Q207" s="26"/>
      <c r="S207" s="27"/>
      <c r="T207" s="28"/>
      <c r="U207" s="28"/>
      <c r="V207" s="63"/>
      <c r="W207" s="64"/>
      <c r="X207" s="63"/>
      <c r="AF207" s="17" t="e">
        <f t="shared" si="36"/>
        <v>#REF!</v>
      </c>
    </row>
    <row r="208" spans="1:32" s="58" customFormat="1" ht="25.5" customHeight="1" x14ac:dyDescent="0.3">
      <c r="A208" s="59"/>
      <c r="B208" s="49"/>
      <c r="C208" s="49"/>
      <c r="D208" s="50"/>
      <c r="E208" s="51"/>
      <c r="F208" s="52"/>
      <c r="G208" s="60"/>
      <c r="H208" s="52"/>
      <c r="I208" s="50"/>
      <c r="J208" s="39"/>
      <c r="K208" s="40"/>
      <c r="L208" s="65"/>
      <c r="M208" s="65"/>
      <c r="N208" s="49"/>
      <c r="O208" s="46" t="e">
        <f>(L208+M208)/(K208+L208+M208)*100</f>
        <v>#DIV/0!</v>
      </c>
      <c r="Q208" s="26"/>
      <c r="S208" s="27"/>
      <c r="T208" s="28"/>
      <c r="U208" s="28"/>
      <c r="V208" s="63"/>
      <c r="W208" s="64"/>
      <c r="X208" s="63"/>
      <c r="AF208" s="17" t="e">
        <f t="shared" si="36"/>
        <v>#REF!</v>
      </c>
    </row>
    <row r="209" spans="1:32" s="58" customFormat="1" ht="25.5" customHeight="1" x14ac:dyDescent="0.3">
      <c r="A209" s="59"/>
      <c r="B209" s="49"/>
      <c r="C209" s="49"/>
      <c r="D209" s="50"/>
      <c r="E209" s="51"/>
      <c r="F209" s="52"/>
      <c r="G209" s="60"/>
      <c r="H209" s="52"/>
      <c r="I209" s="50"/>
      <c r="J209" s="39"/>
      <c r="K209" s="40"/>
      <c r="L209" s="65"/>
      <c r="M209" s="65"/>
      <c r="N209" s="49"/>
      <c r="O209" s="46"/>
      <c r="Q209" s="26"/>
      <c r="S209" s="27"/>
      <c r="T209" s="28"/>
      <c r="U209" s="28"/>
      <c r="V209" s="63"/>
      <c r="W209" s="64"/>
      <c r="X209" s="63"/>
      <c r="AF209" s="17" t="e">
        <f t="shared" si="36"/>
        <v>#REF!</v>
      </c>
    </row>
    <row r="210" spans="1:32" s="130" customFormat="1" ht="25.5" customHeight="1" x14ac:dyDescent="0.3">
      <c r="A210" s="59"/>
      <c r="B210" s="49"/>
      <c r="C210" s="49"/>
      <c r="D210" s="50"/>
      <c r="E210" s="51"/>
      <c r="F210" s="52"/>
      <c r="G210" s="60"/>
      <c r="H210" s="52"/>
      <c r="I210" s="50"/>
      <c r="J210" s="37"/>
      <c r="K210" s="40"/>
      <c r="L210" s="65"/>
      <c r="M210" s="65"/>
      <c r="N210" s="113"/>
      <c r="O210" s="122"/>
      <c r="P210" s="123"/>
      <c r="Q210" s="124"/>
      <c r="R210" s="125"/>
      <c r="S210" s="126"/>
      <c r="T210" s="127"/>
      <c r="U210" s="127"/>
      <c r="V210" s="128"/>
      <c r="W210" s="129"/>
      <c r="X210" s="128"/>
      <c r="AF210" s="17" t="e">
        <f>+IF(A210&lt;&gt;0,A210,IF(AND(A210="",AE210=1),"",#REF!))</f>
        <v>#REF!</v>
      </c>
    </row>
    <row r="211" spans="1:32" s="58" customFormat="1" ht="25.5" customHeight="1" x14ac:dyDescent="0.3">
      <c r="A211" s="59"/>
      <c r="B211" s="49"/>
      <c r="C211" s="49"/>
      <c r="D211" s="50"/>
      <c r="E211" s="51"/>
      <c r="F211" s="52"/>
      <c r="G211" s="60"/>
      <c r="H211" s="52"/>
      <c r="I211" s="50"/>
      <c r="J211" s="39"/>
      <c r="K211" s="40"/>
      <c r="L211" s="65"/>
      <c r="M211" s="65"/>
      <c r="N211" s="113"/>
      <c r="O211" s="46" t="e">
        <f>(L211+M211)/(K211+L211+M211)*100</f>
        <v>#DIV/0!</v>
      </c>
      <c r="Q211" s="26"/>
      <c r="S211" s="27"/>
      <c r="T211" s="28"/>
      <c r="U211" s="28"/>
      <c r="V211" s="63"/>
      <c r="W211" s="64"/>
      <c r="X211" s="63"/>
      <c r="AF211" s="17" t="e">
        <f>+IF(A211&lt;&gt;0,A211,IF(AND(A211="",AE211=1),"",AF210))</f>
        <v>#REF!</v>
      </c>
    </row>
    <row r="212" spans="1:32" s="58" customFormat="1" ht="25.5" customHeight="1" x14ac:dyDescent="0.3">
      <c r="A212" s="59"/>
      <c r="B212" s="49"/>
      <c r="C212" s="49"/>
      <c r="D212" s="50"/>
      <c r="E212" s="51"/>
      <c r="F212" s="52"/>
      <c r="G212" s="60"/>
      <c r="H212" s="52"/>
      <c r="I212" s="50"/>
      <c r="J212" s="39"/>
      <c r="K212" s="40"/>
      <c r="L212" s="65"/>
      <c r="M212" s="65"/>
      <c r="N212" s="49"/>
      <c r="O212" s="46" t="e">
        <f>(L212+M212)/(K212+L212+M212)*100</f>
        <v>#DIV/0!</v>
      </c>
      <c r="Q212" s="26"/>
      <c r="S212" s="27"/>
      <c r="T212" s="28"/>
      <c r="U212" s="28"/>
      <c r="V212" s="63"/>
      <c r="W212" s="64"/>
      <c r="X212" s="63"/>
      <c r="AF212" s="17" t="e">
        <f>+IF(A212&lt;&gt;0,A212,IF(AND(A212="",AE212=1),"",AF211))</f>
        <v>#REF!</v>
      </c>
    </row>
    <row r="213" spans="1:32" s="58" customFormat="1" ht="25.5" customHeight="1" x14ac:dyDescent="0.3">
      <c r="A213" s="59"/>
      <c r="B213" s="49"/>
      <c r="C213" s="49"/>
      <c r="D213" s="50"/>
      <c r="E213" s="51"/>
      <c r="F213" s="52"/>
      <c r="G213" s="60"/>
      <c r="H213" s="52"/>
      <c r="I213" s="50"/>
      <c r="J213" s="39"/>
      <c r="K213" s="40"/>
      <c r="L213" s="65"/>
      <c r="M213" s="65"/>
      <c r="N213" s="49"/>
      <c r="O213" s="46" t="e">
        <f>(L213+M213)/(K213+L213+M213)*100</f>
        <v>#DIV/0!</v>
      </c>
      <c r="P213" s="58">
        <v>-2400</v>
      </c>
      <c r="Q213" s="26"/>
      <c r="S213" s="27"/>
      <c r="T213" s="28"/>
      <c r="U213" s="28"/>
      <c r="V213" s="63"/>
      <c r="W213" s="64"/>
      <c r="X213" s="63"/>
      <c r="AF213" s="17" t="e">
        <f t="shared" ref="AF213:AF276" si="37">+IF(A213&lt;&gt;0,A213,IF(AND(A213="",AE213=1),"",AF212))</f>
        <v>#REF!</v>
      </c>
    </row>
    <row r="214" spans="1:32" s="58" customFormat="1" ht="25.5" customHeight="1" x14ac:dyDescent="0.3">
      <c r="A214" s="59"/>
      <c r="B214" s="49"/>
      <c r="C214" s="49"/>
      <c r="D214" s="50"/>
      <c r="E214" s="51"/>
      <c r="F214" s="52"/>
      <c r="G214" s="60"/>
      <c r="H214" s="52"/>
      <c r="I214" s="50"/>
      <c r="J214" s="39"/>
      <c r="K214" s="73"/>
      <c r="L214" s="65"/>
      <c r="M214" s="65"/>
      <c r="N214" s="121"/>
      <c r="O214" s="46"/>
      <c r="P214" s="57"/>
      <c r="Q214" s="26"/>
      <c r="R214" s="25"/>
      <c r="S214" s="27"/>
      <c r="T214" s="28"/>
      <c r="U214" s="28"/>
      <c r="V214" s="63"/>
      <c r="W214" s="64"/>
      <c r="X214" s="63"/>
      <c r="AF214" s="17" t="e">
        <f t="shared" si="37"/>
        <v>#REF!</v>
      </c>
    </row>
    <row r="215" spans="1:32" s="58" customFormat="1" ht="25.5" customHeight="1" x14ac:dyDescent="0.3">
      <c r="A215" s="59"/>
      <c r="B215" s="49"/>
      <c r="C215" s="49"/>
      <c r="D215" s="50"/>
      <c r="E215" s="51"/>
      <c r="F215" s="52"/>
      <c r="G215" s="60"/>
      <c r="H215" s="52"/>
      <c r="I215" s="50"/>
      <c r="J215" s="39"/>
      <c r="K215" s="73"/>
      <c r="L215" s="65"/>
      <c r="M215" s="65"/>
      <c r="N215" s="121"/>
      <c r="O215" s="46"/>
      <c r="P215" s="57"/>
      <c r="Q215" s="26"/>
      <c r="R215" s="25"/>
      <c r="S215" s="27"/>
      <c r="T215" s="28"/>
      <c r="U215" s="28"/>
      <c r="V215" s="63"/>
      <c r="W215" s="64"/>
      <c r="X215" s="63"/>
      <c r="AF215" s="17" t="e">
        <f t="shared" si="37"/>
        <v>#REF!</v>
      </c>
    </row>
    <row r="216" spans="1:32" s="58" customFormat="1" ht="25.5" customHeight="1" x14ac:dyDescent="0.3">
      <c r="A216" s="59"/>
      <c r="B216" s="49"/>
      <c r="C216" s="49"/>
      <c r="D216" s="50"/>
      <c r="E216" s="51"/>
      <c r="F216" s="52"/>
      <c r="G216" s="60"/>
      <c r="H216" s="52"/>
      <c r="I216" s="50"/>
      <c r="J216" s="54"/>
      <c r="K216" s="40"/>
      <c r="L216" s="65"/>
      <c r="M216" s="65"/>
      <c r="N216" s="113"/>
      <c r="O216" s="46" t="e">
        <f>(L216+M216)/(K216+L216+M216)*100</f>
        <v>#DIV/0!</v>
      </c>
      <c r="Q216" s="26"/>
      <c r="S216" s="27"/>
      <c r="T216" s="28"/>
      <c r="U216" s="28"/>
      <c r="V216" s="63"/>
      <c r="W216" s="64"/>
      <c r="X216" s="63"/>
      <c r="AF216" s="17" t="e">
        <f t="shared" si="37"/>
        <v>#REF!</v>
      </c>
    </row>
    <row r="217" spans="1:32" s="58" customFormat="1" ht="25.5" customHeight="1" x14ac:dyDescent="0.3">
      <c r="A217" s="59"/>
      <c r="B217" s="49"/>
      <c r="C217" s="49"/>
      <c r="D217" s="50"/>
      <c r="E217" s="51"/>
      <c r="F217" s="52"/>
      <c r="G217" s="60"/>
      <c r="H217" s="52"/>
      <c r="I217" s="50"/>
      <c r="J217" s="39"/>
      <c r="K217" s="40"/>
      <c r="L217" s="65"/>
      <c r="M217" s="65"/>
      <c r="N217" s="49"/>
      <c r="O217" s="46" t="e">
        <f>(L217+M217)/(K217+L217+M217)*100</f>
        <v>#DIV/0!</v>
      </c>
      <c r="Q217" s="26"/>
      <c r="S217" s="27"/>
      <c r="T217" s="28"/>
      <c r="U217" s="28"/>
      <c r="V217" s="63"/>
      <c r="W217" s="64"/>
      <c r="X217" s="63"/>
      <c r="AF217" s="17" t="e">
        <f t="shared" si="37"/>
        <v>#REF!</v>
      </c>
    </row>
    <row r="218" spans="1:32" s="58" customFormat="1" ht="25.5" customHeight="1" x14ac:dyDescent="0.3">
      <c r="A218" s="59"/>
      <c r="B218" s="49"/>
      <c r="C218" s="49"/>
      <c r="D218" s="50"/>
      <c r="E218" s="51"/>
      <c r="F218" s="52"/>
      <c r="G218" s="60"/>
      <c r="H218" s="52"/>
      <c r="I218" s="50"/>
      <c r="J218" s="54"/>
      <c r="K218" s="40"/>
      <c r="L218" s="65"/>
      <c r="M218" s="65"/>
      <c r="N218" s="49"/>
      <c r="O218" s="46"/>
      <c r="Q218" s="26"/>
      <c r="S218" s="27"/>
      <c r="T218" s="28"/>
      <c r="U218" s="28"/>
      <c r="V218" s="63"/>
      <c r="W218" s="64"/>
      <c r="X218" s="63"/>
      <c r="AF218" s="17" t="e">
        <f t="shared" si="37"/>
        <v>#REF!</v>
      </c>
    </row>
    <row r="219" spans="1:32" s="58" customFormat="1" ht="25.5" customHeight="1" x14ac:dyDescent="0.3">
      <c r="A219" s="59"/>
      <c r="B219" s="49"/>
      <c r="C219" s="49"/>
      <c r="D219" s="50"/>
      <c r="E219" s="51"/>
      <c r="F219" s="52"/>
      <c r="G219" s="60"/>
      <c r="H219" s="52"/>
      <c r="I219" s="50"/>
      <c r="J219" s="39"/>
      <c r="K219" s="40"/>
      <c r="L219" s="65"/>
      <c r="M219" s="65"/>
      <c r="N219" s="49"/>
      <c r="O219" s="46" t="e">
        <f>(L219+M219)/(K219+L219+M219)*100</f>
        <v>#DIV/0!</v>
      </c>
      <c r="Q219" s="26"/>
      <c r="S219" s="27"/>
      <c r="T219" s="28"/>
      <c r="U219" s="28"/>
      <c r="V219" s="63" t="s">
        <v>79</v>
      </c>
      <c r="W219" s="64"/>
      <c r="X219" s="63"/>
      <c r="AF219" s="17" t="e">
        <f t="shared" si="37"/>
        <v>#REF!</v>
      </c>
    </row>
    <row r="220" spans="1:32" s="58" customFormat="1" ht="25.5" customHeight="1" x14ac:dyDescent="0.3">
      <c r="A220" s="59"/>
      <c r="B220" s="49"/>
      <c r="C220" s="49"/>
      <c r="D220" s="50"/>
      <c r="E220" s="51"/>
      <c r="F220" s="52"/>
      <c r="G220" s="60"/>
      <c r="H220" s="52"/>
      <c r="I220" s="50"/>
      <c r="J220" s="39"/>
      <c r="K220" s="40"/>
      <c r="L220" s="65"/>
      <c r="M220" s="65"/>
      <c r="N220" s="49"/>
      <c r="O220" s="46" t="e">
        <f>(L220+M220)/(K220+L220+M220)*100</f>
        <v>#DIV/0!</v>
      </c>
      <c r="Q220" s="132">
        <f>[1]H.Giang!$I$78</f>
        <v>1050340</v>
      </c>
      <c r="R220" s="133" t="s">
        <v>23</v>
      </c>
      <c r="S220" s="134">
        <f>SUMIF($R$5:$R$219,R220,$S$5:$S$219)</f>
        <v>186920</v>
      </c>
      <c r="T220" s="134">
        <f>SUMIF($R$5:$R$219,R220,$T$5:$T$219)</f>
        <v>0</v>
      </c>
      <c r="U220" s="134">
        <f>SUMIF($R$5:$R$219,R220,$U$5:$U$219)</f>
        <v>0</v>
      </c>
      <c r="V220" s="135" t="e">
        <f>(T220+U220+#REF!)/S220*100</f>
        <v>#REF!</v>
      </c>
      <c r="W220" s="63" t="e">
        <f>(T220+#REF!)/S220*100</f>
        <v>#REF!</v>
      </c>
      <c r="X220" s="63"/>
      <c r="AF220" s="17" t="e">
        <f t="shared" si="37"/>
        <v>#REF!</v>
      </c>
    </row>
    <row r="221" spans="1:32" s="58" customFormat="1" ht="25.5" customHeight="1" x14ac:dyDescent="0.3">
      <c r="A221" s="59"/>
      <c r="B221" s="49"/>
      <c r="C221" s="49"/>
      <c r="D221" s="50"/>
      <c r="E221" s="51"/>
      <c r="F221" s="52"/>
      <c r="G221" s="60"/>
      <c r="H221" s="52"/>
      <c r="I221" s="50"/>
      <c r="J221" s="37"/>
      <c r="K221" s="40"/>
      <c r="L221" s="65"/>
      <c r="M221" s="65"/>
      <c r="N221" s="49"/>
      <c r="O221" s="46"/>
      <c r="Q221" s="132"/>
      <c r="R221" s="133"/>
      <c r="S221" s="134"/>
      <c r="T221" s="134"/>
      <c r="U221" s="134"/>
      <c r="V221" s="135"/>
      <c r="W221" s="63"/>
      <c r="X221" s="63"/>
      <c r="AF221" s="17" t="e">
        <f t="shared" si="37"/>
        <v>#REF!</v>
      </c>
    </row>
    <row r="222" spans="1:32" s="58" customFormat="1" ht="25.5" customHeight="1" x14ac:dyDescent="0.3">
      <c r="A222" s="59"/>
      <c r="B222" s="49"/>
      <c r="C222" s="49"/>
      <c r="D222" s="50"/>
      <c r="E222" s="51"/>
      <c r="F222" s="52"/>
      <c r="G222" s="60"/>
      <c r="H222" s="52"/>
      <c r="I222" s="50"/>
      <c r="J222" s="37"/>
      <c r="K222" s="136"/>
      <c r="L222" s="65"/>
      <c r="M222" s="65"/>
      <c r="N222" s="49"/>
      <c r="O222" s="46" t="e">
        <f>(L222+M222)/(K222+L222+M222)*100</f>
        <v>#DIV/0!</v>
      </c>
      <c r="Q222" s="63"/>
      <c r="R222" s="25" t="s">
        <v>80</v>
      </c>
      <c r="S222" s="134">
        <f>SUMIF($R$5:$R$219,R222,$S$5:$S$219)</f>
        <v>0</v>
      </c>
      <c r="T222" s="134">
        <f>SUMIF($R$5:$R$219,R222,$T$5:$T$219)</f>
        <v>0</v>
      </c>
      <c r="U222" s="134">
        <f>SUMIF($R$5:$R$219,R222,$U$5:$U$219)</f>
        <v>0</v>
      </c>
      <c r="V222" s="135" t="e">
        <f>(T222+T224)/S222*100</f>
        <v>#DIV/0!</v>
      </c>
      <c r="W222" s="64"/>
      <c r="X222" s="63"/>
      <c r="AF222" s="17" t="e">
        <f t="shared" si="37"/>
        <v>#REF!</v>
      </c>
    </row>
    <row r="223" spans="1:32" s="58" customFormat="1" ht="25.5" customHeight="1" x14ac:dyDescent="0.3">
      <c r="A223" s="59"/>
      <c r="B223" s="49"/>
      <c r="C223" s="49"/>
      <c r="D223" s="50"/>
      <c r="E223" s="51"/>
      <c r="F223" s="52"/>
      <c r="G223" s="60"/>
      <c r="H223" s="52"/>
      <c r="I223" s="50"/>
      <c r="J223" s="39"/>
      <c r="K223" s="40"/>
      <c r="L223" s="65"/>
      <c r="M223" s="65"/>
      <c r="N223" s="49"/>
      <c r="O223" s="46" t="e">
        <f>(L223+M223)/(K223+L223+M223)*100</f>
        <v>#DIV/0!</v>
      </c>
      <c r="Q223" s="26"/>
      <c r="R223" s="25" t="s">
        <v>81</v>
      </c>
      <c r="S223" s="134">
        <f>SUMIF($R$5:$R$219,R223,$S$5:$S$219)</f>
        <v>0</v>
      </c>
      <c r="T223" s="134">
        <f>SUMIF($R$5:$R$219,R223,$T$5:$T$219)</f>
        <v>0</v>
      </c>
      <c r="U223" s="134">
        <f>SUMIF($R$5:$R$219,R223,$U$5:$U$219)</f>
        <v>0</v>
      </c>
      <c r="V223" s="135" t="e">
        <f>(T223+T228)/S223*100</f>
        <v>#DIV/0!</v>
      </c>
      <c r="W223" s="64"/>
      <c r="X223" s="63"/>
      <c r="AF223" s="17" t="e">
        <f t="shared" si="37"/>
        <v>#REF!</v>
      </c>
    </row>
    <row r="224" spans="1:32" s="58" customFormat="1" ht="25.5" customHeight="1" x14ac:dyDescent="0.3">
      <c r="A224" s="59"/>
      <c r="B224" s="49"/>
      <c r="C224" s="49"/>
      <c r="D224" s="50"/>
      <c r="E224" s="51"/>
      <c r="F224" s="52"/>
      <c r="G224" s="60"/>
      <c r="H224" s="52"/>
      <c r="I224" s="50"/>
      <c r="J224" s="37"/>
      <c r="K224" s="40"/>
      <c r="L224" s="65"/>
      <c r="M224" s="65"/>
      <c r="N224" s="49"/>
      <c r="O224" s="46" t="e">
        <f>(L224+M224)/(K224+L224+M224)*100</f>
        <v>#DIV/0!</v>
      </c>
      <c r="Q224" s="26"/>
      <c r="S224" s="27"/>
      <c r="T224" s="28"/>
      <c r="U224" s="28"/>
      <c r="V224" s="63"/>
      <c r="W224" s="64"/>
      <c r="X224" s="63"/>
      <c r="AF224" s="17" t="e">
        <f t="shared" si="37"/>
        <v>#REF!</v>
      </c>
    </row>
    <row r="225" spans="1:32" s="58" customFormat="1" ht="25.5" customHeight="1" x14ac:dyDescent="0.3">
      <c r="A225" s="59"/>
      <c r="B225" s="49"/>
      <c r="C225" s="49"/>
      <c r="D225" s="50"/>
      <c r="E225" s="51"/>
      <c r="F225" s="52"/>
      <c r="G225" s="60"/>
      <c r="H225" s="52"/>
      <c r="I225" s="50"/>
      <c r="J225" s="39"/>
      <c r="K225" s="40"/>
      <c r="L225" s="65"/>
      <c r="M225" s="65"/>
      <c r="N225" s="49"/>
      <c r="O225" s="46" t="e">
        <f>(L225+M225)/(K225+L225+M225)*100</f>
        <v>#DIV/0!</v>
      </c>
      <c r="Q225" s="26"/>
      <c r="S225" s="27"/>
      <c r="T225" s="28"/>
      <c r="U225" s="28"/>
      <c r="V225" s="63"/>
      <c r="W225" s="64"/>
      <c r="X225" s="63"/>
      <c r="AF225" s="17" t="e">
        <f t="shared" si="37"/>
        <v>#REF!</v>
      </c>
    </row>
    <row r="226" spans="1:32" s="58" customFormat="1" ht="25.5" customHeight="1" x14ac:dyDescent="0.3">
      <c r="A226" s="59"/>
      <c r="B226" s="49"/>
      <c r="C226" s="49"/>
      <c r="D226" s="50"/>
      <c r="E226" s="51"/>
      <c r="F226" s="52"/>
      <c r="G226" s="60"/>
      <c r="H226" s="52"/>
      <c r="I226" s="50"/>
      <c r="J226" s="39"/>
      <c r="K226" s="40"/>
      <c r="L226" s="65"/>
      <c r="M226" s="65"/>
      <c r="N226" s="49"/>
      <c r="O226" s="46" t="e">
        <f>(L226+M226)/(K226+L226+M226)*100</f>
        <v>#DIV/0!</v>
      </c>
      <c r="Q226" s="26"/>
      <c r="S226" s="27"/>
      <c r="T226" s="28"/>
      <c r="U226" s="28"/>
      <c r="V226" s="63"/>
      <c r="W226" s="64"/>
      <c r="X226" s="63"/>
      <c r="AF226" s="17" t="e">
        <f t="shared" si="37"/>
        <v>#REF!</v>
      </c>
    </row>
    <row r="227" spans="1:32" s="58" customFormat="1" ht="25.5" customHeight="1" x14ac:dyDescent="0.3">
      <c r="A227" s="59"/>
      <c r="B227" s="49"/>
      <c r="C227" s="49"/>
      <c r="D227" s="50"/>
      <c r="E227" s="51"/>
      <c r="F227" s="52"/>
      <c r="G227" s="60"/>
      <c r="H227" s="52"/>
      <c r="I227" s="50"/>
      <c r="J227" s="39"/>
      <c r="K227" s="40"/>
      <c r="L227" s="65"/>
      <c r="M227" s="65"/>
      <c r="N227" s="49"/>
      <c r="O227" s="46"/>
      <c r="Q227" s="26"/>
      <c r="S227" s="27"/>
      <c r="T227" s="28"/>
      <c r="U227" s="28"/>
      <c r="V227" s="63"/>
      <c r="W227" s="64"/>
      <c r="X227" s="63"/>
      <c r="AF227" s="17" t="e">
        <f t="shared" si="37"/>
        <v>#REF!</v>
      </c>
    </row>
    <row r="228" spans="1:32" s="58" customFormat="1" ht="25.5" customHeight="1" x14ac:dyDescent="0.3">
      <c r="A228" s="59"/>
      <c r="B228" s="49"/>
      <c r="C228" s="49"/>
      <c r="D228" s="50"/>
      <c r="E228" s="51"/>
      <c r="F228" s="52"/>
      <c r="G228" s="60"/>
      <c r="H228" s="52"/>
      <c r="I228" s="50"/>
      <c r="J228" s="54"/>
      <c r="K228" s="40"/>
      <c r="L228" s="65"/>
      <c r="M228" s="65"/>
      <c r="N228" s="49"/>
      <c r="O228" s="46" t="e">
        <f t="shared" ref="O228:O236" si="38">(L228+M228)/(K228+L228+M228)*100</f>
        <v>#DIV/0!</v>
      </c>
      <c r="Q228" s="26"/>
      <c r="S228" s="27"/>
      <c r="T228" s="28"/>
      <c r="U228" s="28"/>
      <c r="V228" s="63"/>
      <c r="W228" s="64"/>
      <c r="X228" s="63"/>
      <c r="AF228" s="17" t="e">
        <f t="shared" si="37"/>
        <v>#REF!</v>
      </c>
    </row>
    <row r="229" spans="1:32" s="58" customFormat="1" ht="25.5" customHeight="1" x14ac:dyDescent="0.3">
      <c r="A229" s="59"/>
      <c r="B229" s="49"/>
      <c r="C229" s="49"/>
      <c r="D229" s="50"/>
      <c r="E229" s="51"/>
      <c r="F229" s="52"/>
      <c r="G229" s="60"/>
      <c r="H229" s="52"/>
      <c r="I229" s="50"/>
      <c r="J229" s="39"/>
      <c r="K229" s="40"/>
      <c r="L229" s="65"/>
      <c r="M229" s="65"/>
      <c r="N229" s="49"/>
      <c r="O229" s="46" t="e">
        <f t="shared" si="38"/>
        <v>#DIV/0!</v>
      </c>
      <c r="Q229" s="26"/>
      <c r="S229" s="27"/>
      <c r="T229" s="28"/>
      <c r="U229" s="28"/>
      <c r="V229" s="63"/>
      <c r="W229" s="64"/>
      <c r="X229" s="63"/>
      <c r="AF229" s="17" t="e">
        <f t="shared" si="37"/>
        <v>#REF!</v>
      </c>
    </row>
    <row r="230" spans="1:32" s="58" customFormat="1" ht="25.5" customHeight="1" x14ac:dyDescent="0.3">
      <c r="A230" s="59"/>
      <c r="B230" s="49"/>
      <c r="C230" s="49"/>
      <c r="D230" s="50"/>
      <c r="E230" s="51"/>
      <c r="F230" s="52"/>
      <c r="G230" s="60"/>
      <c r="H230" s="52"/>
      <c r="I230" s="50"/>
      <c r="J230" s="39"/>
      <c r="K230" s="40"/>
      <c r="L230" s="65"/>
      <c r="M230" s="65"/>
      <c r="N230" s="49"/>
      <c r="O230" s="46" t="e">
        <f t="shared" si="38"/>
        <v>#DIV/0!</v>
      </c>
      <c r="Q230" s="26"/>
      <c r="S230" s="27"/>
      <c r="T230" s="110"/>
      <c r="U230" s="28"/>
      <c r="V230" s="63"/>
      <c r="W230" s="64"/>
      <c r="X230" s="63"/>
      <c r="AF230" s="17" t="e">
        <f t="shared" si="37"/>
        <v>#REF!</v>
      </c>
    </row>
    <row r="231" spans="1:32" s="58" customFormat="1" ht="25.5" customHeight="1" x14ac:dyDescent="0.3">
      <c r="A231" s="59"/>
      <c r="B231" s="49"/>
      <c r="C231" s="49"/>
      <c r="D231" s="50"/>
      <c r="E231" s="51"/>
      <c r="F231" s="52"/>
      <c r="G231" s="60"/>
      <c r="H231" s="52"/>
      <c r="I231" s="50"/>
      <c r="J231" s="39"/>
      <c r="K231" s="136"/>
      <c r="L231" s="65"/>
      <c r="M231" s="65"/>
      <c r="N231" s="49"/>
      <c r="O231" s="46" t="e">
        <f t="shared" si="38"/>
        <v>#DIV/0!</v>
      </c>
      <c r="Q231" s="26"/>
      <c r="S231" s="27"/>
      <c r="T231" s="28"/>
      <c r="U231" s="28"/>
      <c r="V231" s="63"/>
      <c r="W231" s="64"/>
      <c r="X231" s="63"/>
      <c r="AF231" s="17" t="e">
        <f t="shared" si="37"/>
        <v>#REF!</v>
      </c>
    </row>
    <row r="232" spans="1:32" s="58" customFormat="1" ht="25.5" customHeight="1" x14ac:dyDescent="0.3">
      <c r="A232" s="59"/>
      <c r="B232" s="49"/>
      <c r="C232" s="49"/>
      <c r="D232" s="50"/>
      <c r="E232" s="51"/>
      <c r="F232" s="52"/>
      <c r="G232" s="60"/>
      <c r="H232" s="52"/>
      <c r="I232" s="50"/>
      <c r="J232" s="37"/>
      <c r="K232" s="40"/>
      <c r="L232" s="65"/>
      <c r="M232" s="65"/>
      <c r="N232" s="49"/>
      <c r="O232" s="46" t="e">
        <f t="shared" si="38"/>
        <v>#DIV/0!</v>
      </c>
      <c r="P232" s="58">
        <f>5380+4270</f>
        <v>9650</v>
      </c>
      <c r="Q232" s="26"/>
      <c r="S232" s="27"/>
      <c r="T232" s="28"/>
      <c r="U232" s="28"/>
      <c r="V232" s="63"/>
      <c r="W232" s="64"/>
      <c r="X232" s="63"/>
      <c r="AF232" s="17" t="e">
        <f t="shared" si="37"/>
        <v>#REF!</v>
      </c>
    </row>
    <row r="233" spans="1:32" s="58" customFormat="1" ht="25.5" customHeight="1" x14ac:dyDescent="0.3">
      <c r="A233" s="59"/>
      <c r="B233" s="49"/>
      <c r="C233" s="49"/>
      <c r="D233" s="50"/>
      <c r="E233" s="51"/>
      <c r="F233" s="52"/>
      <c r="G233" s="60"/>
      <c r="H233" s="52"/>
      <c r="I233" s="50"/>
      <c r="J233" s="39"/>
      <c r="K233" s="40"/>
      <c r="L233" s="65"/>
      <c r="M233" s="65"/>
      <c r="N233" s="49"/>
      <c r="O233" s="46" t="e">
        <f t="shared" si="38"/>
        <v>#DIV/0!</v>
      </c>
      <c r="Q233" s="26"/>
      <c r="R233" s="137"/>
      <c r="S233" s="27"/>
      <c r="T233" s="28"/>
      <c r="U233" s="28"/>
      <c r="V233" s="63"/>
      <c r="W233" s="64"/>
      <c r="X233" s="63"/>
      <c r="AF233" s="17" t="e">
        <f t="shared" si="37"/>
        <v>#REF!</v>
      </c>
    </row>
    <row r="234" spans="1:32" s="58" customFormat="1" ht="25.5" customHeight="1" x14ac:dyDescent="0.3">
      <c r="A234" s="138"/>
      <c r="B234" s="49"/>
      <c r="C234" s="49"/>
      <c r="D234" s="50"/>
      <c r="E234" s="51"/>
      <c r="F234" s="52"/>
      <c r="G234" s="60"/>
      <c r="H234" s="52"/>
      <c r="I234" s="50"/>
      <c r="J234" s="39"/>
      <c r="K234" s="40"/>
      <c r="L234" s="65"/>
      <c r="M234" s="65"/>
      <c r="N234" s="49"/>
      <c r="O234" s="46" t="e">
        <f t="shared" si="38"/>
        <v>#DIV/0!</v>
      </c>
      <c r="Q234" s="26"/>
      <c r="R234" s="137"/>
      <c r="S234" s="27"/>
      <c r="T234" s="28"/>
      <c r="U234" s="28"/>
      <c r="V234" s="63"/>
      <c r="W234" s="64"/>
      <c r="X234" s="63"/>
      <c r="AF234" s="17" t="e">
        <f t="shared" si="37"/>
        <v>#REF!</v>
      </c>
    </row>
    <row r="235" spans="1:32" s="58" customFormat="1" ht="25.5" customHeight="1" x14ac:dyDescent="0.3">
      <c r="A235" s="59"/>
      <c r="B235" s="49"/>
      <c r="C235" s="49"/>
      <c r="D235" s="50"/>
      <c r="E235" s="51"/>
      <c r="F235" s="52"/>
      <c r="G235" s="60"/>
      <c r="H235" s="52"/>
      <c r="I235" s="50"/>
      <c r="J235" s="39"/>
      <c r="K235" s="40"/>
      <c r="L235" s="65"/>
      <c r="M235" s="65"/>
      <c r="N235" s="49"/>
      <c r="O235" s="46" t="e">
        <f t="shared" si="38"/>
        <v>#DIV/0!</v>
      </c>
      <c r="Q235" s="26"/>
      <c r="R235" s="137"/>
      <c r="S235" s="27"/>
      <c r="T235" s="28"/>
      <c r="U235" s="28"/>
      <c r="V235" s="63"/>
      <c r="W235" s="64"/>
      <c r="X235" s="63"/>
      <c r="AF235" s="17" t="e">
        <f t="shared" si="37"/>
        <v>#REF!</v>
      </c>
    </row>
    <row r="236" spans="1:32" s="58" customFormat="1" ht="25.5" customHeight="1" x14ac:dyDescent="0.3">
      <c r="A236" s="59"/>
      <c r="B236" s="49"/>
      <c r="C236" s="49"/>
      <c r="D236" s="50"/>
      <c r="E236" s="51"/>
      <c r="F236" s="52"/>
      <c r="G236" s="60"/>
      <c r="H236" s="52"/>
      <c r="I236" s="50"/>
      <c r="J236" s="39"/>
      <c r="K236" s="40"/>
      <c r="L236" s="65"/>
      <c r="M236" s="65"/>
      <c r="N236" s="49"/>
      <c r="O236" s="46" t="e">
        <f t="shared" si="38"/>
        <v>#DIV/0!</v>
      </c>
      <c r="Q236" s="26"/>
      <c r="S236" s="27"/>
      <c r="T236" s="28"/>
      <c r="U236" s="28"/>
      <c r="V236" s="63"/>
      <c r="W236" s="64"/>
      <c r="X236" s="63"/>
      <c r="AF236" s="17" t="e">
        <f t="shared" si="37"/>
        <v>#REF!</v>
      </c>
    </row>
    <row r="237" spans="1:32" s="58" customFormat="1" ht="25.5" customHeight="1" x14ac:dyDescent="0.3">
      <c r="A237" s="59"/>
      <c r="B237" s="49"/>
      <c r="C237" s="49"/>
      <c r="D237" s="50"/>
      <c r="E237" s="51"/>
      <c r="F237" s="52"/>
      <c r="G237" s="60"/>
      <c r="H237" s="52"/>
      <c r="I237" s="50"/>
      <c r="J237" s="54"/>
      <c r="K237" s="40"/>
      <c r="L237" s="65"/>
      <c r="M237" s="65"/>
      <c r="N237" s="49"/>
      <c r="O237" s="46"/>
      <c r="Q237" s="26"/>
      <c r="S237" s="27"/>
      <c r="T237" s="28"/>
      <c r="U237" s="28"/>
      <c r="V237" s="63"/>
      <c r="W237" s="64"/>
      <c r="X237" s="63"/>
      <c r="AF237" s="17" t="e">
        <f t="shared" si="37"/>
        <v>#REF!</v>
      </c>
    </row>
    <row r="238" spans="1:32" s="58" customFormat="1" ht="25.5" customHeight="1" x14ac:dyDescent="0.3">
      <c r="A238" s="59"/>
      <c r="B238" s="49"/>
      <c r="C238" s="49"/>
      <c r="D238" s="50"/>
      <c r="E238" s="51"/>
      <c r="F238" s="52"/>
      <c r="G238" s="60"/>
      <c r="H238" s="52"/>
      <c r="I238" s="50"/>
      <c r="J238" s="39"/>
      <c r="K238" s="40"/>
      <c r="L238" s="65"/>
      <c r="M238" s="65"/>
      <c r="N238" s="49"/>
      <c r="O238" s="46" t="e">
        <f t="shared" ref="O238:O243" si="39">(L238+M238)/(K238+L238+M238)*100</f>
        <v>#DIV/0!</v>
      </c>
      <c r="Q238" s="26"/>
      <c r="S238" s="27"/>
      <c r="T238" s="28"/>
      <c r="U238" s="28"/>
      <c r="V238" s="63"/>
      <c r="W238" s="64"/>
      <c r="X238" s="63"/>
      <c r="AF238" s="17" t="e">
        <f t="shared" si="37"/>
        <v>#REF!</v>
      </c>
    </row>
    <row r="239" spans="1:32" s="58" customFormat="1" ht="25.5" customHeight="1" x14ac:dyDescent="0.3">
      <c r="A239" s="59"/>
      <c r="B239" s="49"/>
      <c r="C239" s="49"/>
      <c r="D239" s="50"/>
      <c r="E239" s="51"/>
      <c r="F239" s="52"/>
      <c r="G239" s="60"/>
      <c r="H239" s="52"/>
      <c r="I239" s="50"/>
      <c r="J239" s="39"/>
      <c r="K239" s="40"/>
      <c r="L239" s="65"/>
      <c r="M239" s="65"/>
      <c r="N239" s="49"/>
      <c r="O239" s="46" t="e">
        <f t="shared" si="39"/>
        <v>#DIV/0!</v>
      </c>
      <c r="Q239" s="26"/>
      <c r="S239" s="27"/>
      <c r="T239" s="28"/>
      <c r="U239" s="28"/>
      <c r="V239" s="63"/>
      <c r="W239" s="64"/>
      <c r="X239" s="63"/>
      <c r="AF239" s="17" t="e">
        <f t="shared" si="37"/>
        <v>#REF!</v>
      </c>
    </row>
    <row r="240" spans="1:32" s="58" customFormat="1" ht="25.5" customHeight="1" x14ac:dyDescent="0.3">
      <c r="A240" s="59"/>
      <c r="B240" s="49"/>
      <c r="C240" s="49"/>
      <c r="D240" s="50"/>
      <c r="E240" s="51"/>
      <c r="F240" s="52"/>
      <c r="G240" s="60"/>
      <c r="H240" s="52"/>
      <c r="I240" s="50"/>
      <c r="J240" s="39"/>
      <c r="K240" s="136"/>
      <c r="L240" s="65"/>
      <c r="M240" s="65"/>
      <c r="N240" s="49"/>
      <c r="O240" s="46" t="e">
        <f t="shared" si="39"/>
        <v>#DIV/0!</v>
      </c>
      <c r="Q240" s="26"/>
      <c r="S240" s="27"/>
      <c r="T240" s="28"/>
      <c r="U240" s="28"/>
      <c r="V240" s="63"/>
      <c r="W240" s="64"/>
      <c r="X240" s="63"/>
      <c r="AF240" s="17" t="e">
        <f t="shared" si="37"/>
        <v>#REF!</v>
      </c>
    </row>
    <row r="241" spans="1:32" s="58" customFormat="1" ht="25.5" customHeight="1" x14ac:dyDescent="0.3">
      <c r="A241" s="59"/>
      <c r="B241" s="49"/>
      <c r="C241" s="49"/>
      <c r="D241" s="50"/>
      <c r="E241" s="51"/>
      <c r="F241" s="52"/>
      <c r="G241" s="60"/>
      <c r="H241" s="52"/>
      <c r="I241" s="50"/>
      <c r="J241" s="37"/>
      <c r="K241" s="40"/>
      <c r="L241" s="65"/>
      <c r="M241" s="65"/>
      <c r="N241" s="49"/>
      <c r="O241" s="46" t="e">
        <f t="shared" si="39"/>
        <v>#DIV/0!</v>
      </c>
      <c r="Q241" s="26"/>
      <c r="S241" s="27"/>
      <c r="T241" s="28"/>
      <c r="U241" s="28"/>
      <c r="V241" s="63"/>
      <c r="W241" s="64"/>
      <c r="X241" s="63"/>
      <c r="AF241" s="17" t="e">
        <f t="shared" si="37"/>
        <v>#REF!</v>
      </c>
    </row>
    <row r="242" spans="1:32" s="58" customFormat="1" ht="25.5" customHeight="1" x14ac:dyDescent="0.3">
      <c r="A242" s="59"/>
      <c r="B242" s="49"/>
      <c r="C242" s="49"/>
      <c r="D242" s="50"/>
      <c r="E242" s="51"/>
      <c r="F242" s="52"/>
      <c r="G242" s="60"/>
      <c r="H242" s="52"/>
      <c r="I242" s="50"/>
      <c r="J242" s="39"/>
      <c r="K242" s="40"/>
      <c r="L242" s="65"/>
      <c r="M242" s="65"/>
      <c r="N242" s="49"/>
      <c r="O242" s="46" t="e">
        <f t="shared" si="39"/>
        <v>#DIV/0!</v>
      </c>
      <c r="Q242" s="26"/>
      <c r="S242" s="27"/>
      <c r="T242" s="28"/>
      <c r="U242" s="28"/>
      <c r="V242" s="63"/>
      <c r="W242" s="64"/>
      <c r="X242" s="63"/>
      <c r="AF242" s="17" t="e">
        <f t="shared" si="37"/>
        <v>#REF!</v>
      </c>
    </row>
    <row r="243" spans="1:32" s="58" customFormat="1" ht="25.5" customHeight="1" x14ac:dyDescent="0.3">
      <c r="A243" s="59"/>
      <c r="B243" s="49"/>
      <c r="C243" s="49"/>
      <c r="D243" s="50"/>
      <c r="E243" s="51"/>
      <c r="F243" s="52"/>
      <c r="G243" s="60"/>
      <c r="H243" s="52"/>
      <c r="I243" s="50"/>
      <c r="J243" s="39"/>
      <c r="K243" s="40"/>
      <c r="L243" s="65"/>
      <c r="M243" s="65"/>
      <c r="N243" s="49"/>
      <c r="O243" s="46" t="e">
        <f t="shared" si="39"/>
        <v>#DIV/0!</v>
      </c>
      <c r="Q243" s="26"/>
      <c r="S243" s="27"/>
      <c r="T243" s="28"/>
      <c r="U243" s="28"/>
      <c r="V243" s="63"/>
      <c r="W243" s="64"/>
      <c r="X243" s="63"/>
      <c r="AF243" s="17" t="e">
        <f t="shared" si="37"/>
        <v>#REF!</v>
      </c>
    </row>
    <row r="244" spans="1:32" s="58" customFormat="1" ht="25.5" customHeight="1" x14ac:dyDescent="0.3">
      <c r="A244" s="59"/>
      <c r="B244" s="49"/>
      <c r="C244" s="49"/>
      <c r="D244" s="50"/>
      <c r="E244" s="51"/>
      <c r="F244" s="52"/>
      <c r="G244" s="60"/>
      <c r="H244" s="52"/>
      <c r="I244" s="50"/>
      <c r="J244" s="39"/>
      <c r="K244" s="40"/>
      <c r="L244" s="65"/>
      <c r="M244" s="65"/>
      <c r="N244" s="49"/>
      <c r="O244" s="46"/>
      <c r="Q244" s="26"/>
      <c r="S244" s="27"/>
      <c r="T244" s="28"/>
      <c r="U244" s="28"/>
      <c r="V244" s="63"/>
      <c r="W244" s="64"/>
      <c r="X244" s="63"/>
      <c r="AF244" s="17" t="e">
        <f t="shared" si="37"/>
        <v>#REF!</v>
      </c>
    </row>
    <row r="245" spans="1:32" s="58" customFormat="1" ht="25.5" customHeight="1" x14ac:dyDescent="0.3">
      <c r="A245" s="138"/>
      <c r="B245" s="49"/>
      <c r="C245" s="49"/>
      <c r="D245" s="50"/>
      <c r="E245" s="51"/>
      <c r="F245" s="52"/>
      <c r="G245" s="60"/>
      <c r="H245" s="52"/>
      <c r="I245" s="50"/>
      <c r="J245" s="39"/>
      <c r="K245" s="40"/>
      <c r="L245" s="65"/>
      <c r="M245" s="65"/>
      <c r="N245" s="49"/>
      <c r="O245" s="46" t="e">
        <f t="shared" ref="O245:O278" si="40">(L245+M245)/(K245+L245+M245)*100</f>
        <v>#DIV/0!</v>
      </c>
      <c r="Q245" s="26">
        <f>1785*0.23*0.83*0.545</f>
        <v>185.71229250000002</v>
      </c>
      <c r="S245" s="27"/>
      <c r="T245" s="28"/>
      <c r="U245" s="28"/>
      <c r="V245" s="63"/>
      <c r="W245" s="64"/>
      <c r="X245" s="63"/>
      <c r="AF245" s="17" t="e">
        <f t="shared" si="37"/>
        <v>#REF!</v>
      </c>
    </row>
    <row r="246" spans="1:32" s="58" customFormat="1" ht="25.5" customHeight="1" x14ac:dyDescent="0.3">
      <c r="A246" s="59"/>
      <c r="B246" s="49"/>
      <c r="C246" s="49"/>
      <c r="D246" s="50"/>
      <c r="E246" s="51"/>
      <c r="F246" s="52"/>
      <c r="G246" s="60"/>
      <c r="H246" s="52"/>
      <c r="I246" s="50"/>
      <c r="J246" s="39"/>
      <c r="K246" s="40"/>
      <c r="L246" s="65"/>
      <c r="M246" s="65"/>
      <c r="N246" s="49"/>
      <c r="O246" s="46" t="e">
        <f t="shared" si="40"/>
        <v>#DIV/0!</v>
      </c>
      <c r="Q246" s="26"/>
      <c r="S246" s="27"/>
      <c r="T246" s="28"/>
      <c r="U246" s="28"/>
      <c r="V246" s="63"/>
      <c r="W246" s="64"/>
      <c r="X246" s="63"/>
      <c r="AF246" s="17" t="e">
        <f t="shared" si="37"/>
        <v>#REF!</v>
      </c>
    </row>
    <row r="247" spans="1:32" s="58" customFormat="1" ht="25.5" customHeight="1" x14ac:dyDescent="0.3">
      <c r="A247" s="59"/>
      <c r="B247" s="49"/>
      <c r="C247" s="49"/>
      <c r="D247" s="50"/>
      <c r="E247" s="51"/>
      <c r="F247" s="52"/>
      <c r="G247" s="60"/>
      <c r="H247" s="52"/>
      <c r="I247" s="50"/>
      <c r="J247" s="39"/>
      <c r="K247" s="40"/>
      <c r="L247" s="65"/>
      <c r="M247" s="65"/>
      <c r="N247" s="49"/>
      <c r="O247" s="46" t="e">
        <f t="shared" si="40"/>
        <v>#DIV/0!</v>
      </c>
      <c r="Q247" s="26"/>
      <c r="S247" s="27"/>
      <c r="T247" s="28"/>
      <c r="U247" s="28"/>
      <c r="V247" s="63"/>
      <c r="W247" s="64"/>
      <c r="X247" s="63"/>
      <c r="AF247" s="17" t="e">
        <f t="shared" si="37"/>
        <v>#REF!</v>
      </c>
    </row>
    <row r="248" spans="1:32" s="58" customFormat="1" ht="25.5" customHeight="1" x14ac:dyDescent="0.3">
      <c r="A248" s="59"/>
      <c r="B248" s="49"/>
      <c r="C248" s="49"/>
      <c r="D248" s="50"/>
      <c r="E248" s="51"/>
      <c r="F248" s="52"/>
      <c r="G248" s="60"/>
      <c r="H248" s="52"/>
      <c r="I248" s="50"/>
      <c r="J248" s="39"/>
      <c r="K248" s="40"/>
      <c r="L248" s="65"/>
      <c r="M248" s="65"/>
      <c r="N248" s="49"/>
      <c r="O248" s="46" t="e">
        <f>(L248+M248)/(K248+L248+M248)*100</f>
        <v>#DIV/0!</v>
      </c>
      <c r="Q248" s="26"/>
      <c r="S248" s="27"/>
      <c r="T248" s="28"/>
      <c r="U248" s="28"/>
      <c r="V248" s="63"/>
      <c r="W248" s="64"/>
      <c r="X248" s="63"/>
      <c r="AF248" s="17" t="e">
        <f>+IF(A248&lt;&gt;0,A248,IF(AND(A248="",AE248=1),"",AF247))</f>
        <v>#REF!</v>
      </c>
    </row>
    <row r="249" spans="1:32" s="58" customFormat="1" ht="25.5" customHeight="1" x14ac:dyDescent="0.3">
      <c r="A249" s="59"/>
      <c r="B249" s="49"/>
      <c r="C249" s="49"/>
      <c r="D249" s="50"/>
      <c r="E249" s="51"/>
      <c r="F249" s="52"/>
      <c r="G249" s="60"/>
      <c r="H249" s="52"/>
      <c r="I249" s="50"/>
      <c r="J249" s="39"/>
      <c r="K249" s="136"/>
      <c r="L249" s="49"/>
      <c r="M249" s="65"/>
      <c r="N249" s="49"/>
      <c r="O249" s="46" t="e">
        <f t="shared" si="40"/>
        <v>#DIV/0!</v>
      </c>
      <c r="Q249" s="26"/>
      <c r="S249" s="27"/>
      <c r="T249" s="28"/>
      <c r="U249" s="28"/>
      <c r="V249" s="63"/>
      <c r="W249" s="64"/>
      <c r="X249" s="63"/>
      <c r="AF249" s="17" t="e">
        <f>+IF(A249&lt;&gt;0,A249,IF(AND(A249="",AE249=1),"",AF247))</f>
        <v>#REF!</v>
      </c>
    </row>
    <row r="250" spans="1:32" s="58" customFormat="1" ht="25.5" customHeight="1" x14ac:dyDescent="0.3">
      <c r="A250" s="59"/>
      <c r="B250" s="49"/>
      <c r="C250" s="49"/>
      <c r="D250" s="50"/>
      <c r="E250" s="51"/>
      <c r="F250" s="52"/>
      <c r="G250" s="60"/>
      <c r="H250" s="52"/>
      <c r="I250" s="50"/>
      <c r="J250" s="39"/>
      <c r="K250" s="40"/>
      <c r="L250" s="139"/>
      <c r="M250" s="139"/>
      <c r="N250" s="49"/>
      <c r="O250" s="46" t="e">
        <f t="shared" si="40"/>
        <v>#DIV/0!</v>
      </c>
      <c r="Q250" s="26"/>
      <c r="S250" s="27"/>
      <c r="T250" s="28"/>
      <c r="U250" s="28"/>
      <c r="V250" s="63"/>
      <c r="W250" s="64"/>
      <c r="X250" s="63"/>
      <c r="AF250" s="17" t="e">
        <f t="shared" si="37"/>
        <v>#REF!</v>
      </c>
    </row>
    <row r="251" spans="1:32" s="58" customFormat="1" ht="25.5" customHeight="1" x14ac:dyDescent="0.3">
      <c r="A251" s="59"/>
      <c r="B251" s="49"/>
      <c r="C251" s="49"/>
      <c r="D251" s="50"/>
      <c r="E251" s="51"/>
      <c r="F251" s="52"/>
      <c r="G251" s="60"/>
      <c r="H251" s="52"/>
      <c r="I251" s="50"/>
      <c r="J251" s="39"/>
      <c r="K251" s="40"/>
      <c r="L251" s="65"/>
      <c r="M251" s="65"/>
      <c r="N251" s="49"/>
      <c r="O251" s="46" t="e">
        <f t="shared" si="40"/>
        <v>#DIV/0!</v>
      </c>
      <c r="Q251" s="26"/>
      <c r="S251" s="27"/>
      <c r="T251" s="28"/>
      <c r="U251" s="28"/>
      <c r="V251" s="63"/>
      <c r="W251" s="64"/>
      <c r="X251" s="63"/>
      <c r="AF251" s="17" t="e">
        <f t="shared" si="37"/>
        <v>#REF!</v>
      </c>
    </row>
    <row r="252" spans="1:32" s="58" customFormat="1" ht="25.5" customHeight="1" x14ac:dyDescent="0.3">
      <c r="A252" s="59"/>
      <c r="B252" s="49"/>
      <c r="C252" s="49"/>
      <c r="D252" s="50"/>
      <c r="E252" s="51"/>
      <c r="F252" s="52"/>
      <c r="G252" s="60"/>
      <c r="H252" s="52"/>
      <c r="I252" s="50"/>
      <c r="J252" s="39"/>
      <c r="K252" s="40"/>
      <c r="L252" s="65"/>
      <c r="M252" s="65"/>
      <c r="N252" s="90"/>
      <c r="O252" s="46" t="e">
        <f t="shared" si="40"/>
        <v>#DIV/0!</v>
      </c>
      <c r="Q252" s="26"/>
      <c r="S252" s="27"/>
      <c r="T252" s="28"/>
      <c r="U252" s="28"/>
      <c r="V252" s="63"/>
      <c r="W252" s="64"/>
      <c r="X252" s="63"/>
      <c r="AF252" s="17" t="e">
        <f t="shared" si="37"/>
        <v>#REF!</v>
      </c>
    </row>
    <row r="253" spans="1:32" s="58" customFormat="1" ht="25.5" customHeight="1" x14ac:dyDescent="0.3">
      <c r="A253" s="59"/>
      <c r="B253" s="49"/>
      <c r="C253" s="49"/>
      <c r="D253" s="50"/>
      <c r="E253" s="51"/>
      <c r="F253" s="52"/>
      <c r="G253" s="60"/>
      <c r="H253" s="52"/>
      <c r="I253" s="50"/>
      <c r="J253" s="39"/>
      <c r="K253" s="40"/>
      <c r="L253" s="65"/>
      <c r="M253" s="65"/>
      <c r="N253" s="90"/>
      <c r="O253" s="46" t="e">
        <f t="shared" si="40"/>
        <v>#DIV/0!</v>
      </c>
      <c r="Q253" s="26"/>
      <c r="S253" s="27"/>
      <c r="T253" s="28"/>
      <c r="U253" s="28"/>
      <c r="V253" s="63"/>
      <c r="W253" s="64"/>
      <c r="X253" s="63"/>
      <c r="AF253" s="17" t="e">
        <f t="shared" si="37"/>
        <v>#REF!</v>
      </c>
    </row>
    <row r="254" spans="1:32" s="58" customFormat="1" ht="25.5" customHeight="1" x14ac:dyDescent="0.3">
      <c r="A254" s="59"/>
      <c r="B254" s="49"/>
      <c r="C254" s="49"/>
      <c r="D254" s="50"/>
      <c r="E254" s="51"/>
      <c r="F254" s="52"/>
      <c r="G254" s="60"/>
      <c r="H254" s="52"/>
      <c r="I254" s="50"/>
      <c r="J254" s="39"/>
      <c r="K254" s="40"/>
      <c r="L254" s="65"/>
      <c r="M254" s="65"/>
      <c r="N254" s="90"/>
      <c r="O254" s="46" t="e">
        <f t="shared" si="40"/>
        <v>#DIV/0!</v>
      </c>
      <c r="Q254" s="26"/>
      <c r="S254" s="27"/>
      <c r="T254" s="28"/>
      <c r="U254" s="28"/>
      <c r="V254" s="63"/>
      <c r="W254" s="64"/>
      <c r="X254" s="63"/>
      <c r="AF254" s="17" t="e">
        <f t="shared" si="37"/>
        <v>#REF!</v>
      </c>
    </row>
    <row r="255" spans="1:32" s="58" customFormat="1" ht="30" customHeight="1" x14ac:dyDescent="0.3">
      <c r="A255" s="59"/>
      <c r="B255" s="49"/>
      <c r="C255" s="49"/>
      <c r="D255" s="50"/>
      <c r="E255" s="51"/>
      <c r="F255" s="52"/>
      <c r="G255" s="60"/>
      <c r="H255" s="52"/>
      <c r="I255" s="50"/>
      <c r="J255" s="39"/>
      <c r="K255" s="40"/>
      <c r="L255" s="65"/>
      <c r="M255" s="65"/>
      <c r="N255" s="90"/>
      <c r="O255" s="46" t="e">
        <f t="shared" si="40"/>
        <v>#DIV/0!</v>
      </c>
      <c r="Q255" s="26"/>
      <c r="S255" s="27"/>
      <c r="T255" s="28"/>
      <c r="U255" s="28"/>
      <c r="V255" s="63"/>
      <c r="W255" s="64"/>
      <c r="X255" s="63"/>
      <c r="AF255" s="17" t="e">
        <f t="shared" si="37"/>
        <v>#REF!</v>
      </c>
    </row>
    <row r="256" spans="1:32" s="58" customFormat="1" ht="25.5" customHeight="1" x14ac:dyDescent="0.3">
      <c r="A256" s="59"/>
      <c r="B256" s="49"/>
      <c r="C256" s="49"/>
      <c r="D256" s="50"/>
      <c r="E256" s="51"/>
      <c r="F256" s="52"/>
      <c r="G256" s="60"/>
      <c r="H256" s="52"/>
      <c r="I256" s="50"/>
      <c r="J256" s="39"/>
      <c r="K256" s="40"/>
      <c r="L256" s="49"/>
      <c r="M256" s="65"/>
      <c r="N256" s="49"/>
      <c r="O256" s="46" t="e">
        <f t="shared" si="40"/>
        <v>#DIV/0!</v>
      </c>
      <c r="Q256" s="26"/>
      <c r="S256" s="27"/>
      <c r="T256" s="28"/>
      <c r="U256" s="28"/>
      <c r="V256" s="63"/>
      <c r="W256" s="64"/>
      <c r="X256" s="63"/>
      <c r="AF256" s="17" t="e">
        <f t="shared" si="37"/>
        <v>#REF!</v>
      </c>
    </row>
    <row r="257" spans="1:32" s="58" customFormat="1" ht="25.5" customHeight="1" x14ac:dyDescent="0.3">
      <c r="A257" s="59"/>
      <c r="B257" s="49"/>
      <c r="C257" s="49"/>
      <c r="D257" s="50"/>
      <c r="E257" s="51"/>
      <c r="F257" s="52"/>
      <c r="G257" s="60"/>
      <c r="H257" s="52"/>
      <c r="I257" s="50"/>
      <c r="J257" s="39"/>
      <c r="K257" s="40"/>
      <c r="L257" s="49"/>
      <c r="M257" s="65"/>
      <c r="N257" s="49"/>
      <c r="O257" s="46" t="e">
        <f t="shared" si="40"/>
        <v>#DIV/0!</v>
      </c>
      <c r="Q257" s="26"/>
      <c r="S257" s="27"/>
      <c r="T257" s="28"/>
      <c r="U257" s="28"/>
      <c r="V257" s="63"/>
      <c r="W257" s="64"/>
      <c r="X257" s="63"/>
      <c r="AF257" s="17" t="e">
        <f t="shared" si="37"/>
        <v>#REF!</v>
      </c>
    </row>
    <row r="258" spans="1:32" s="58" customFormat="1" ht="25.5" customHeight="1" x14ac:dyDescent="0.3">
      <c r="A258" s="59"/>
      <c r="B258" s="49"/>
      <c r="C258" s="49"/>
      <c r="D258" s="50"/>
      <c r="E258" s="51"/>
      <c r="F258" s="52"/>
      <c r="G258" s="60"/>
      <c r="H258" s="52"/>
      <c r="I258" s="50"/>
      <c r="J258" s="39"/>
      <c r="K258" s="40"/>
      <c r="L258" s="49"/>
      <c r="M258" s="65"/>
      <c r="N258" s="49"/>
      <c r="O258" s="46"/>
      <c r="Q258" s="26"/>
      <c r="S258" s="27"/>
      <c r="T258" s="28"/>
      <c r="U258" s="28"/>
      <c r="V258" s="63"/>
      <c r="W258" s="64"/>
      <c r="X258" s="63"/>
      <c r="AF258" s="17" t="e">
        <f t="shared" si="37"/>
        <v>#REF!</v>
      </c>
    </row>
    <row r="259" spans="1:32" s="58" customFormat="1" ht="25.5" customHeight="1" x14ac:dyDescent="0.3">
      <c r="A259" s="59"/>
      <c r="B259" s="49"/>
      <c r="C259" s="49"/>
      <c r="D259" s="50"/>
      <c r="E259" s="51"/>
      <c r="F259" s="52"/>
      <c r="G259" s="60"/>
      <c r="H259" s="52"/>
      <c r="I259" s="50"/>
      <c r="J259" s="39"/>
      <c r="K259" s="40"/>
      <c r="L259" s="49"/>
      <c r="M259" s="65"/>
      <c r="N259" s="49"/>
      <c r="O259" s="46" t="e">
        <f t="shared" si="40"/>
        <v>#DIV/0!</v>
      </c>
      <c r="Q259" s="26"/>
      <c r="S259" s="27"/>
      <c r="T259" s="28"/>
      <c r="U259" s="28"/>
      <c r="V259" s="63"/>
      <c r="W259" s="64"/>
      <c r="X259" s="63"/>
      <c r="AF259" s="17" t="e">
        <f t="shared" si="37"/>
        <v>#REF!</v>
      </c>
    </row>
    <row r="260" spans="1:32" s="58" customFormat="1" ht="25.5" customHeight="1" x14ac:dyDescent="0.3">
      <c r="A260" s="59"/>
      <c r="B260" s="49"/>
      <c r="C260" s="49"/>
      <c r="D260" s="50"/>
      <c r="E260" s="51"/>
      <c r="F260" s="52"/>
      <c r="G260" s="60"/>
      <c r="H260" s="52"/>
      <c r="I260" s="50"/>
      <c r="J260" s="39"/>
      <c r="K260" s="40"/>
      <c r="L260" s="65"/>
      <c r="M260" s="65"/>
      <c r="N260" s="49"/>
      <c r="O260" s="46" t="e">
        <f t="shared" si="40"/>
        <v>#DIV/0!</v>
      </c>
      <c r="Q260" s="26"/>
      <c r="S260" s="27"/>
      <c r="T260" s="28"/>
      <c r="U260" s="28"/>
      <c r="V260" s="63"/>
      <c r="W260" s="64"/>
      <c r="X260" s="63"/>
      <c r="AF260" s="17" t="e">
        <f t="shared" si="37"/>
        <v>#REF!</v>
      </c>
    </row>
    <row r="261" spans="1:32" s="58" customFormat="1" ht="25.5" customHeight="1" x14ac:dyDescent="0.3">
      <c r="A261" s="59"/>
      <c r="B261" s="49"/>
      <c r="C261" s="49"/>
      <c r="D261" s="50"/>
      <c r="E261" s="51"/>
      <c r="F261" s="52"/>
      <c r="G261" s="60"/>
      <c r="H261" s="52"/>
      <c r="I261" s="50"/>
      <c r="J261" s="39"/>
      <c r="K261" s="40"/>
      <c r="L261" s="65"/>
      <c r="M261" s="65"/>
      <c r="N261" s="49"/>
      <c r="O261" s="46" t="e">
        <f t="shared" si="40"/>
        <v>#DIV/0!</v>
      </c>
      <c r="Q261" s="26"/>
      <c r="S261" s="27"/>
      <c r="T261" s="28"/>
      <c r="U261" s="28"/>
      <c r="V261" s="63"/>
      <c r="W261" s="64"/>
      <c r="X261" s="63"/>
      <c r="AF261" s="17" t="e">
        <f t="shared" si="37"/>
        <v>#REF!</v>
      </c>
    </row>
    <row r="262" spans="1:32" s="58" customFormat="1" ht="25.5" customHeight="1" x14ac:dyDescent="0.3">
      <c r="A262" s="138"/>
      <c r="B262" s="49"/>
      <c r="C262" s="49"/>
      <c r="D262" s="50"/>
      <c r="E262" s="51"/>
      <c r="F262" s="52"/>
      <c r="G262" s="60"/>
      <c r="H262" s="52"/>
      <c r="I262" s="50"/>
      <c r="J262" s="39"/>
      <c r="K262" s="40"/>
      <c r="L262" s="65"/>
      <c r="M262" s="65"/>
      <c r="N262" s="49"/>
      <c r="O262" s="46" t="e">
        <f t="shared" si="40"/>
        <v>#DIV/0!</v>
      </c>
      <c r="Q262" s="26"/>
      <c r="S262" s="27"/>
      <c r="T262" s="28"/>
      <c r="U262" s="28"/>
      <c r="V262" s="63"/>
      <c r="W262" s="64"/>
      <c r="X262" s="63"/>
      <c r="AF262" s="17" t="e">
        <f t="shared" si="37"/>
        <v>#REF!</v>
      </c>
    </row>
    <row r="263" spans="1:32" s="58" customFormat="1" ht="25.5" customHeight="1" x14ac:dyDescent="0.3">
      <c r="A263" s="59"/>
      <c r="B263" s="49"/>
      <c r="C263" s="49"/>
      <c r="D263" s="50"/>
      <c r="E263" s="51"/>
      <c r="F263" s="52"/>
      <c r="G263" s="60"/>
      <c r="H263" s="52"/>
      <c r="I263" s="50"/>
      <c r="J263" s="39"/>
      <c r="K263" s="40"/>
      <c r="L263" s="65"/>
      <c r="M263" s="65"/>
      <c r="N263" s="49"/>
      <c r="O263" s="46" t="e">
        <f t="shared" si="40"/>
        <v>#DIV/0!</v>
      </c>
      <c r="Q263" s="26"/>
      <c r="S263" s="27"/>
      <c r="T263" s="28"/>
      <c r="U263" s="28"/>
      <c r="V263" s="63"/>
      <c r="W263" s="64"/>
      <c r="X263" s="63"/>
      <c r="AF263" s="17" t="e">
        <f t="shared" si="37"/>
        <v>#REF!</v>
      </c>
    </row>
    <row r="264" spans="1:32" s="58" customFormat="1" ht="25.5" customHeight="1" x14ac:dyDescent="0.3">
      <c r="A264" s="59"/>
      <c r="B264" s="49"/>
      <c r="C264" s="49"/>
      <c r="D264" s="50"/>
      <c r="E264" s="51"/>
      <c r="F264" s="52"/>
      <c r="G264" s="60"/>
      <c r="H264" s="52"/>
      <c r="I264" s="50"/>
      <c r="J264" s="39"/>
      <c r="K264" s="40"/>
      <c r="L264" s="65"/>
      <c r="M264" s="65"/>
      <c r="N264" s="49"/>
      <c r="O264" s="46" t="e">
        <f t="shared" si="40"/>
        <v>#DIV/0!</v>
      </c>
      <c r="Q264" s="26"/>
      <c r="S264" s="27"/>
      <c r="T264" s="28"/>
      <c r="U264" s="28"/>
      <c r="V264" s="63"/>
      <c r="W264" s="64"/>
      <c r="X264" s="63"/>
      <c r="AF264" s="17" t="e">
        <f t="shared" si="37"/>
        <v>#REF!</v>
      </c>
    </row>
    <row r="265" spans="1:32" s="58" customFormat="1" ht="25.5" customHeight="1" x14ac:dyDescent="0.3">
      <c r="A265" s="59"/>
      <c r="B265" s="49"/>
      <c r="C265" s="49"/>
      <c r="D265" s="50"/>
      <c r="E265" s="51"/>
      <c r="F265" s="52"/>
      <c r="G265" s="60"/>
      <c r="H265" s="52"/>
      <c r="I265" s="50"/>
      <c r="J265" s="39"/>
      <c r="K265" s="40"/>
      <c r="L265" s="65"/>
      <c r="M265" s="65"/>
      <c r="N265" s="49"/>
      <c r="O265" s="46" t="e">
        <f t="shared" si="40"/>
        <v>#DIV/0!</v>
      </c>
      <c r="P265" s="58">
        <f>13800+1700</f>
        <v>15500</v>
      </c>
      <c r="Q265" s="26"/>
      <c r="S265" s="27"/>
      <c r="T265" s="28"/>
      <c r="U265" s="28"/>
      <c r="V265" s="63"/>
      <c r="W265" s="64"/>
      <c r="X265" s="63"/>
      <c r="AF265" s="17" t="e">
        <f t="shared" si="37"/>
        <v>#REF!</v>
      </c>
    </row>
    <row r="266" spans="1:32" s="58" customFormat="1" ht="25.5" customHeight="1" x14ac:dyDescent="0.3">
      <c r="A266" s="59"/>
      <c r="B266" s="49"/>
      <c r="C266" s="49"/>
      <c r="D266" s="50"/>
      <c r="E266" s="51"/>
      <c r="F266" s="52"/>
      <c r="G266" s="60"/>
      <c r="H266" s="52"/>
      <c r="I266" s="50"/>
      <c r="J266" s="39"/>
      <c r="K266" s="40"/>
      <c r="L266" s="65"/>
      <c r="M266" s="65"/>
      <c r="N266" s="49"/>
      <c r="O266" s="46" t="e">
        <f t="shared" si="40"/>
        <v>#DIV/0!</v>
      </c>
      <c r="P266" s="58">
        <f>37300-P265</f>
        <v>21800</v>
      </c>
      <c r="Q266" s="26"/>
      <c r="S266" s="27"/>
      <c r="T266" s="28"/>
      <c r="U266" s="28"/>
      <c r="V266" s="63"/>
      <c r="W266" s="64"/>
      <c r="X266" s="63"/>
      <c r="AF266" s="17" t="e">
        <f t="shared" si="37"/>
        <v>#REF!</v>
      </c>
    </row>
    <row r="267" spans="1:32" s="58" customFormat="1" ht="25.5" customHeight="1" x14ac:dyDescent="0.3">
      <c r="A267" s="59"/>
      <c r="B267" s="49"/>
      <c r="C267" s="49"/>
      <c r="D267" s="50"/>
      <c r="E267" s="51"/>
      <c r="F267" s="52"/>
      <c r="G267" s="60"/>
      <c r="H267" s="52"/>
      <c r="I267" s="50"/>
      <c r="J267" s="39"/>
      <c r="K267" s="40"/>
      <c r="L267" s="65"/>
      <c r="M267" s="65"/>
      <c r="N267" s="49"/>
      <c r="O267" s="46" t="e">
        <f t="shared" si="40"/>
        <v>#DIV/0!</v>
      </c>
      <c r="Q267" s="26"/>
      <c r="S267" s="27"/>
      <c r="T267" s="28"/>
      <c r="U267" s="28"/>
      <c r="V267" s="63"/>
      <c r="W267" s="64"/>
      <c r="X267" s="63"/>
      <c r="AF267" s="17" t="e">
        <f t="shared" si="37"/>
        <v>#REF!</v>
      </c>
    </row>
    <row r="268" spans="1:32" s="58" customFormat="1" ht="25.5" customHeight="1" x14ac:dyDescent="0.3">
      <c r="A268" s="59"/>
      <c r="B268" s="49"/>
      <c r="C268" s="50"/>
      <c r="D268" s="50"/>
      <c r="E268" s="51"/>
      <c r="F268" s="52"/>
      <c r="G268" s="60"/>
      <c r="H268" s="52"/>
      <c r="I268" s="50"/>
      <c r="J268" s="39"/>
      <c r="K268" s="40"/>
      <c r="L268" s="65"/>
      <c r="M268" s="65"/>
      <c r="N268" s="49"/>
      <c r="O268" s="46" t="e">
        <f t="shared" si="40"/>
        <v>#DIV/0!</v>
      </c>
      <c r="Q268" s="26"/>
      <c r="S268" s="27"/>
      <c r="T268" s="28"/>
      <c r="U268" s="28"/>
      <c r="V268" s="63"/>
      <c r="W268" s="64"/>
      <c r="X268" s="63"/>
      <c r="AF268" s="17" t="e">
        <f t="shared" si="37"/>
        <v>#REF!</v>
      </c>
    </row>
    <row r="269" spans="1:32" s="58" customFormat="1" ht="25.5" customHeight="1" x14ac:dyDescent="0.3">
      <c r="A269" s="59"/>
      <c r="B269" s="49"/>
      <c r="C269" s="49"/>
      <c r="D269" s="50"/>
      <c r="E269" s="51"/>
      <c r="F269" s="52"/>
      <c r="G269" s="60"/>
      <c r="H269" s="52"/>
      <c r="I269" s="50"/>
      <c r="J269" s="39"/>
      <c r="K269" s="40"/>
      <c r="L269" s="65"/>
      <c r="M269" s="65"/>
      <c r="N269" s="49"/>
      <c r="O269" s="46" t="e">
        <f t="shared" si="40"/>
        <v>#DIV/0!</v>
      </c>
      <c r="Q269" s="26"/>
      <c r="S269" s="27"/>
      <c r="T269" s="28"/>
      <c r="U269" s="28"/>
      <c r="V269" s="63"/>
      <c r="W269" s="64"/>
      <c r="X269" s="63"/>
      <c r="AF269" s="17" t="e">
        <f t="shared" si="37"/>
        <v>#REF!</v>
      </c>
    </row>
    <row r="270" spans="1:32" s="58" customFormat="1" ht="25.5" customHeight="1" x14ac:dyDescent="0.3">
      <c r="A270" s="59"/>
      <c r="B270" s="49"/>
      <c r="C270" s="49"/>
      <c r="D270" s="50"/>
      <c r="E270" s="51"/>
      <c r="F270" s="52"/>
      <c r="G270" s="60"/>
      <c r="H270" s="52"/>
      <c r="I270" s="50"/>
      <c r="J270" s="54"/>
      <c r="K270" s="40"/>
      <c r="L270" s="65"/>
      <c r="M270" s="65"/>
      <c r="N270" s="49"/>
      <c r="O270" s="46" t="e">
        <f t="shared" si="40"/>
        <v>#DIV/0!</v>
      </c>
      <c r="Q270" s="26"/>
      <c r="S270" s="27"/>
      <c r="T270" s="28"/>
      <c r="U270" s="28"/>
      <c r="V270" s="63"/>
      <c r="W270" s="64"/>
      <c r="X270" s="63"/>
      <c r="AF270" s="17" t="e">
        <f t="shared" si="37"/>
        <v>#REF!</v>
      </c>
    </row>
    <row r="271" spans="1:32" s="58" customFormat="1" ht="25.5" customHeight="1" x14ac:dyDescent="0.3">
      <c r="A271" s="59"/>
      <c r="B271" s="49"/>
      <c r="C271" s="49"/>
      <c r="D271" s="50"/>
      <c r="E271" s="51"/>
      <c r="F271" s="52"/>
      <c r="G271" s="60"/>
      <c r="H271" s="52"/>
      <c r="I271" s="50"/>
      <c r="J271" s="39"/>
      <c r="K271" s="40"/>
      <c r="L271" s="65"/>
      <c r="M271" s="65"/>
      <c r="N271" s="49"/>
      <c r="O271" s="46" t="e">
        <f t="shared" si="40"/>
        <v>#DIV/0!</v>
      </c>
      <c r="Q271" s="26"/>
      <c r="S271" s="27"/>
      <c r="T271" s="28"/>
      <c r="U271" s="28"/>
      <c r="V271" s="63"/>
      <c r="W271" s="64"/>
      <c r="X271" s="63"/>
      <c r="AF271" s="17" t="e">
        <f t="shared" si="37"/>
        <v>#REF!</v>
      </c>
    </row>
    <row r="272" spans="1:32" s="58" customFormat="1" ht="25.5" customHeight="1" x14ac:dyDescent="0.3">
      <c r="A272" s="59"/>
      <c r="B272" s="49"/>
      <c r="C272" s="49"/>
      <c r="D272" s="50"/>
      <c r="E272" s="51"/>
      <c r="F272" s="52"/>
      <c r="G272" s="60"/>
      <c r="H272" s="52"/>
      <c r="I272" s="50"/>
      <c r="J272" s="39"/>
      <c r="K272" s="40"/>
      <c r="L272" s="65"/>
      <c r="M272" s="65"/>
      <c r="N272" s="49"/>
      <c r="O272" s="46" t="e">
        <f t="shared" si="40"/>
        <v>#DIV/0!</v>
      </c>
      <c r="Q272" s="26"/>
      <c r="S272" s="27"/>
      <c r="T272" s="28"/>
      <c r="U272" s="28"/>
      <c r="V272" s="63"/>
      <c r="W272" s="64"/>
      <c r="X272" s="63"/>
      <c r="AF272" s="17" t="e">
        <f t="shared" si="37"/>
        <v>#REF!</v>
      </c>
    </row>
    <row r="273" spans="1:32" s="58" customFormat="1" ht="25.5" customHeight="1" x14ac:dyDescent="0.3">
      <c r="A273" s="59"/>
      <c r="B273" s="49"/>
      <c r="C273" s="49"/>
      <c r="D273" s="50"/>
      <c r="E273" s="51"/>
      <c r="F273" s="52"/>
      <c r="G273" s="60"/>
      <c r="H273" s="52"/>
      <c r="I273" s="50"/>
      <c r="J273" s="39"/>
      <c r="K273" s="40"/>
      <c r="L273" s="65"/>
      <c r="M273" s="65"/>
      <c r="N273" s="49"/>
      <c r="O273" s="46" t="e">
        <f t="shared" si="40"/>
        <v>#DIV/0!</v>
      </c>
      <c r="Q273" s="26"/>
      <c r="S273" s="27"/>
      <c r="T273" s="28"/>
      <c r="U273" s="28"/>
      <c r="V273" s="63"/>
      <c r="W273" s="64"/>
      <c r="X273" s="63"/>
      <c r="AF273" s="17" t="e">
        <f t="shared" si="37"/>
        <v>#REF!</v>
      </c>
    </row>
    <row r="274" spans="1:32" s="58" customFormat="1" ht="25.5" customHeight="1" x14ac:dyDescent="0.3">
      <c r="A274" s="59"/>
      <c r="B274" s="49"/>
      <c r="C274" s="49"/>
      <c r="D274" s="50"/>
      <c r="E274" s="51"/>
      <c r="F274" s="52"/>
      <c r="G274" s="60"/>
      <c r="H274" s="52"/>
      <c r="I274" s="50"/>
      <c r="J274" s="39"/>
      <c r="K274" s="40"/>
      <c r="L274" s="65"/>
      <c r="M274" s="65"/>
      <c r="N274" s="49"/>
      <c r="O274" s="46" t="e">
        <f t="shared" si="40"/>
        <v>#DIV/0!</v>
      </c>
      <c r="Q274" s="26"/>
      <c r="S274" s="27"/>
      <c r="T274" s="28"/>
      <c r="U274" s="28"/>
      <c r="V274" s="63"/>
      <c r="W274" s="64"/>
      <c r="X274" s="63"/>
      <c r="AF274" s="17" t="e">
        <f t="shared" si="37"/>
        <v>#REF!</v>
      </c>
    </row>
    <row r="275" spans="1:32" s="58" customFormat="1" ht="25.5" customHeight="1" x14ac:dyDescent="0.3">
      <c r="A275" s="59"/>
      <c r="B275" s="49"/>
      <c r="C275" s="49"/>
      <c r="D275" s="50"/>
      <c r="E275" s="51"/>
      <c r="F275" s="52"/>
      <c r="G275" s="60"/>
      <c r="H275" s="52"/>
      <c r="I275" s="50"/>
      <c r="J275" s="118"/>
      <c r="K275" s="40"/>
      <c r="L275" s="65"/>
      <c r="M275" s="65"/>
      <c r="N275" s="49"/>
      <c r="O275" s="46" t="e">
        <f t="shared" si="40"/>
        <v>#DIV/0!</v>
      </c>
      <c r="Q275" s="26"/>
      <c r="S275" s="27"/>
      <c r="T275" s="28"/>
      <c r="U275" s="28"/>
      <c r="V275" s="63"/>
      <c r="W275" s="64"/>
      <c r="X275" s="63"/>
      <c r="AF275" s="17" t="e">
        <f t="shared" si="37"/>
        <v>#REF!</v>
      </c>
    </row>
    <row r="276" spans="1:32" s="58" customFormat="1" ht="25.5" customHeight="1" x14ac:dyDescent="0.3">
      <c r="A276" s="59"/>
      <c r="B276" s="49"/>
      <c r="C276" s="49"/>
      <c r="D276" s="50"/>
      <c r="E276" s="51"/>
      <c r="F276" s="52"/>
      <c r="G276" s="60"/>
      <c r="H276" s="52"/>
      <c r="I276" s="50"/>
      <c r="J276" s="39"/>
      <c r="K276" s="40"/>
      <c r="L276" s="65"/>
      <c r="M276" s="65"/>
      <c r="N276" s="49"/>
      <c r="O276" s="46" t="e">
        <f t="shared" si="40"/>
        <v>#DIV/0!</v>
      </c>
      <c r="Q276" s="26"/>
      <c r="S276" s="27"/>
      <c r="T276" s="28"/>
      <c r="U276" s="28"/>
      <c r="V276" s="63"/>
      <c r="W276" s="64"/>
      <c r="X276" s="63"/>
      <c r="AF276" s="17" t="e">
        <f t="shared" si="37"/>
        <v>#REF!</v>
      </c>
    </row>
    <row r="277" spans="1:32" s="58" customFormat="1" ht="25.5" customHeight="1" x14ac:dyDescent="0.3">
      <c r="A277" s="59"/>
      <c r="B277" s="49"/>
      <c r="C277" s="49"/>
      <c r="D277" s="50"/>
      <c r="E277" s="51"/>
      <c r="F277" s="52"/>
      <c r="G277" s="60"/>
      <c r="H277" s="52"/>
      <c r="I277" s="50"/>
      <c r="J277" s="39"/>
      <c r="K277" s="40"/>
      <c r="L277" s="65"/>
      <c r="M277" s="65"/>
      <c r="N277" s="49"/>
      <c r="O277" s="46" t="e">
        <f t="shared" si="40"/>
        <v>#DIV/0!</v>
      </c>
      <c r="Q277" s="26"/>
      <c r="S277" s="27"/>
      <c r="T277" s="28"/>
      <c r="U277" s="28"/>
      <c r="V277" s="63"/>
      <c r="W277" s="64"/>
      <c r="X277" s="63"/>
      <c r="AF277" s="17" t="e">
        <f t="shared" ref="AF277:AF340" si="41">+IF(A277&lt;&gt;0,A277,IF(AND(A277="",AE277=1),"",AF276))</f>
        <v>#REF!</v>
      </c>
    </row>
    <row r="278" spans="1:32" s="58" customFormat="1" ht="25.5" customHeight="1" x14ac:dyDescent="0.3">
      <c r="A278" s="59"/>
      <c r="B278" s="49"/>
      <c r="C278" s="49"/>
      <c r="D278" s="50"/>
      <c r="E278" s="51"/>
      <c r="F278" s="52"/>
      <c r="G278" s="60"/>
      <c r="H278" s="52"/>
      <c r="I278" s="50"/>
      <c r="J278" s="118"/>
      <c r="K278" s="40"/>
      <c r="L278" s="65"/>
      <c r="M278" s="65"/>
      <c r="N278" s="49"/>
      <c r="O278" s="46" t="e">
        <f t="shared" si="40"/>
        <v>#DIV/0!</v>
      </c>
      <c r="Q278" s="26"/>
      <c r="S278" s="27"/>
      <c r="T278" s="28"/>
      <c r="U278" s="28"/>
      <c r="V278" s="63"/>
      <c r="W278" s="64"/>
      <c r="X278" s="63"/>
      <c r="AF278" s="17" t="e">
        <f t="shared" si="41"/>
        <v>#REF!</v>
      </c>
    </row>
    <row r="279" spans="1:32" s="58" customFormat="1" ht="25.5" customHeight="1" x14ac:dyDescent="0.3">
      <c r="A279" s="59"/>
      <c r="B279" s="49"/>
      <c r="C279" s="49"/>
      <c r="D279" s="50"/>
      <c r="E279" s="51"/>
      <c r="F279" s="52"/>
      <c r="G279" s="60"/>
      <c r="H279" s="52"/>
      <c r="I279" s="50"/>
      <c r="J279" s="39"/>
      <c r="K279" s="40"/>
      <c r="L279" s="65"/>
      <c r="M279" s="65"/>
      <c r="N279" s="49"/>
      <c r="O279" s="42" t="e">
        <f t="shared" ref="O279:O340" si="42">L279/(K279+L279+M279)*100</f>
        <v>#DIV/0!</v>
      </c>
      <c r="Q279" s="26"/>
      <c r="S279" s="27"/>
      <c r="T279" s="28"/>
      <c r="U279" s="28"/>
      <c r="V279" s="63"/>
      <c r="W279" s="64"/>
      <c r="X279" s="63"/>
      <c r="AF279" s="17" t="e">
        <f t="shared" si="41"/>
        <v>#REF!</v>
      </c>
    </row>
    <row r="280" spans="1:32" ht="25.5" customHeight="1" x14ac:dyDescent="0.3">
      <c r="A280" s="59"/>
      <c r="B280" s="49"/>
      <c r="C280" s="49"/>
      <c r="D280" s="50"/>
      <c r="E280" s="51"/>
      <c r="F280" s="52"/>
      <c r="G280" s="60"/>
      <c r="H280" s="52"/>
      <c r="I280" s="50"/>
      <c r="J280" s="39"/>
      <c r="K280" s="40"/>
      <c r="L280" s="56"/>
      <c r="M280" s="56"/>
      <c r="N280" s="140"/>
      <c r="O280" s="42" t="e">
        <f t="shared" si="42"/>
        <v>#DIV/0!</v>
      </c>
      <c r="AF280" s="17" t="e">
        <f t="shared" si="41"/>
        <v>#REF!</v>
      </c>
    </row>
    <row r="281" spans="1:32" ht="25.5" customHeight="1" x14ac:dyDescent="0.3">
      <c r="A281" s="59"/>
      <c r="B281" s="49"/>
      <c r="C281" s="49"/>
      <c r="D281" s="50"/>
      <c r="E281" s="51"/>
      <c r="F281" s="52"/>
      <c r="G281" s="60"/>
      <c r="H281" s="52"/>
      <c r="I281" s="50"/>
      <c r="J281" s="118"/>
      <c r="K281" s="40"/>
      <c r="L281" s="56"/>
      <c r="M281" s="56"/>
      <c r="N281" s="140"/>
      <c r="O281" s="42"/>
      <c r="AF281" s="17" t="e">
        <f t="shared" si="41"/>
        <v>#REF!</v>
      </c>
    </row>
    <row r="282" spans="1:32" ht="25.5" customHeight="1" x14ac:dyDescent="0.3">
      <c r="A282" s="59"/>
      <c r="B282" s="49"/>
      <c r="C282" s="49"/>
      <c r="D282" s="50"/>
      <c r="E282" s="51"/>
      <c r="F282" s="52"/>
      <c r="G282" s="60"/>
      <c r="H282" s="52"/>
      <c r="I282" s="50"/>
      <c r="J282" s="118"/>
      <c r="K282" s="40"/>
      <c r="L282" s="56"/>
      <c r="M282" s="56"/>
      <c r="N282" s="140"/>
      <c r="O282" s="42" t="e">
        <f t="shared" si="42"/>
        <v>#DIV/0!</v>
      </c>
      <c r="AF282" s="17" t="e">
        <f t="shared" si="41"/>
        <v>#REF!</v>
      </c>
    </row>
    <row r="283" spans="1:32" ht="25.5" customHeight="1" x14ac:dyDescent="0.3">
      <c r="A283" s="59"/>
      <c r="B283" s="49"/>
      <c r="C283" s="49"/>
      <c r="D283" s="50"/>
      <c r="E283" s="51"/>
      <c r="F283" s="52"/>
      <c r="G283" s="60"/>
      <c r="H283" s="52"/>
      <c r="I283" s="50"/>
      <c r="J283" s="39"/>
      <c r="K283" s="40"/>
      <c r="L283" s="56"/>
      <c r="M283" s="56"/>
      <c r="N283" s="141"/>
      <c r="O283" s="42" t="e">
        <f t="shared" si="42"/>
        <v>#DIV/0!</v>
      </c>
      <c r="AF283" s="17" t="e">
        <f t="shared" si="41"/>
        <v>#REF!</v>
      </c>
    </row>
    <row r="284" spans="1:32" ht="25.5" customHeight="1" x14ac:dyDescent="0.3">
      <c r="A284" s="59"/>
      <c r="B284" s="49"/>
      <c r="C284" s="49"/>
      <c r="D284" s="50"/>
      <c r="E284" s="51"/>
      <c r="F284" s="52"/>
      <c r="G284" s="60"/>
      <c r="H284" s="52"/>
      <c r="I284" s="50"/>
      <c r="J284" s="54"/>
      <c r="K284" s="40"/>
      <c r="L284" s="56"/>
      <c r="M284" s="56"/>
      <c r="N284" s="142"/>
      <c r="O284" s="42"/>
      <c r="AF284" s="17" t="e">
        <f t="shared" si="41"/>
        <v>#REF!</v>
      </c>
    </row>
    <row r="285" spans="1:32" ht="25.5" customHeight="1" x14ac:dyDescent="0.3">
      <c r="A285" s="59"/>
      <c r="B285" s="49"/>
      <c r="C285" s="49"/>
      <c r="D285" s="50"/>
      <c r="E285" s="51"/>
      <c r="F285" s="52"/>
      <c r="G285" s="60"/>
      <c r="H285" s="52"/>
      <c r="I285" s="50"/>
      <c r="J285" s="39"/>
      <c r="K285" s="40"/>
      <c r="L285" s="56"/>
      <c r="M285" s="56"/>
      <c r="N285" s="143"/>
      <c r="O285" s="42" t="e">
        <f t="shared" si="42"/>
        <v>#DIV/0!</v>
      </c>
      <c r="AF285" s="17" t="e">
        <f t="shared" si="41"/>
        <v>#REF!</v>
      </c>
    </row>
    <row r="286" spans="1:32" ht="25.5" customHeight="1" x14ac:dyDescent="0.3">
      <c r="A286" s="59"/>
      <c r="B286" s="49"/>
      <c r="C286" s="49"/>
      <c r="D286" s="50"/>
      <c r="E286" s="51"/>
      <c r="F286" s="52"/>
      <c r="G286" s="60"/>
      <c r="H286" s="52"/>
      <c r="I286" s="50"/>
      <c r="J286" s="118"/>
      <c r="K286" s="144"/>
      <c r="L286" s="56"/>
      <c r="M286" s="145"/>
      <c r="N286" s="146"/>
      <c r="O286" s="42" t="e">
        <f t="shared" si="42"/>
        <v>#DIV/0!</v>
      </c>
      <c r="AF286" s="17" t="e">
        <f t="shared" si="41"/>
        <v>#REF!</v>
      </c>
    </row>
    <row r="287" spans="1:32" ht="25.5" customHeight="1" x14ac:dyDescent="0.3">
      <c r="A287" s="59"/>
      <c r="B287" s="49"/>
      <c r="C287" s="49"/>
      <c r="D287" s="50"/>
      <c r="E287" s="51"/>
      <c r="F287" s="52"/>
      <c r="G287" s="60"/>
      <c r="H287" s="52"/>
      <c r="I287" s="50"/>
      <c r="J287" s="118"/>
      <c r="K287" s="40"/>
      <c r="L287" s="56"/>
      <c r="M287" s="56"/>
      <c r="N287" s="147"/>
      <c r="O287" s="42" t="e">
        <f t="shared" si="42"/>
        <v>#DIV/0!</v>
      </c>
      <c r="AF287" s="17" t="e">
        <f t="shared" si="41"/>
        <v>#REF!</v>
      </c>
    </row>
    <row r="288" spans="1:32" ht="25.5" customHeight="1" x14ac:dyDescent="0.3">
      <c r="A288" s="59"/>
      <c r="B288" s="49"/>
      <c r="C288" s="50"/>
      <c r="D288" s="50"/>
      <c r="E288" s="51"/>
      <c r="F288" s="52"/>
      <c r="G288" s="60"/>
      <c r="H288" s="52"/>
      <c r="I288" s="50"/>
      <c r="J288" s="39"/>
      <c r="K288" s="40"/>
      <c r="L288" s="56"/>
      <c r="M288" s="56"/>
      <c r="N288" s="142"/>
      <c r="O288" s="42" t="e">
        <f t="shared" si="42"/>
        <v>#DIV/0!</v>
      </c>
      <c r="Q288" s="25"/>
      <c r="S288" s="25"/>
      <c r="T288" s="25"/>
      <c r="U288" s="25"/>
      <c r="V288" s="25"/>
      <c r="W288" s="25"/>
      <c r="X288" s="25"/>
      <c r="AF288" s="17" t="e">
        <f t="shared" si="41"/>
        <v>#REF!</v>
      </c>
    </row>
    <row r="289" spans="1:32" ht="25.5" customHeight="1" x14ac:dyDescent="0.3">
      <c r="A289" s="59"/>
      <c r="B289" s="49"/>
      <c r="C289" s="49"/>
      <c r="D289" s="50"/>
      <c r="E289" s="51"/>
      <c r="F289" s="52"/>
      <c r="G289" s="60"/>
      <c r="H289" s="52"/>
      <c r="I289" s="50"/>
      <c r="J289" s="118"/>
      <c r="K289" s="40"/>
      <c r="L289" s="56"/>
      <c r="M289" s="56"/>
      <c r="N289" s="142"/>
      <c r="O289" s="42" t="e">
        <f t="shared" si="42"/>
        <v>#DIV/0!</v>
      </c>
      <c r="Q289" s="25"/>
      <c r="S289" s="25"/>
      <c r="T289" s="25"/>
      <c r="U289" s="25"/>
      <c r="V289" s="25"/>
      <c r="W289" s="25"/>
      <c r="X289" s="25"/>
      <c r="AF289" s="17" t="e">
        <f t="shared" si="41"/>
        <v>#REF!</v>
      </c>
    </row>
    <row r="290" spans="1:32" ht="25.5" customHeight="1" x14ac:dyDescent="0.3">
      <c r="A290" s="59"/>
      <c r="B290" s="49"/>
      <c r="C290" s="49"/>
      <c r="D290" s="50"/>
      <c r="E290" s="51"/>
      <c r="F290" s="52"/>
      <c r="G290" s="60"/>
      <c r="H290" s="52"/>
      <c r="I290" s="50"/>
      <c r="J290" s="37"/>
      <c r="K290" s="40"/>
      <c r="L290" s="56"/>
      <c r="M290" s="56"/>
      <c r="N290" s="142"/>
      <c r="O290" s="42" t="e">
        <f t="shared" si="42"/>
        <v>#DIV/0!</v>
      </c>
      <c r="Q290" s="25"/>
      <c r="S290" s="25"/>
      <c r="T290" s="25"/>
      <c r="U290" s="25"/>
      <c r="V290" s="25"/>
      <c r="W290" s="25"/>
      <c r="X290" s="25"/>
      <c r="AF290" s="17" t="e">
        <f t="shared" si="41"/>
        <v>#REF!</v>
      </c>
    </row>
    <row r="291" spans="1:32" ht="25.5" customHeight="1" x14ac:dyDescent="0.3">
      <c r="A291" s="59"/>
      <c r="B291" s="49"/>
      <c r="C291" s="49"/>
      <c r="D291" s="50"/>
      <c r="E291" s="51"/>
      <c r="F291" s="52"/>
      <c r="G291" s="60"/>
      <c r="H291" s="52"/>
      <c r="I291" s="50"/>
      <c r="J291" s="39"/>
      <c r="K291" s="40"/>
      <c r="L291" s="56"/>
      <c r="M291" s="56"/>
      <c r="N291" s="142"/>
      <c r="O291" s="42" t="e">
        <f t="shared" si="42"/>
        <v>#DIV/0!</v>
      </c>
      <c r="Q291" s="25"/>
      <c r="S291" s="25"/>
      <c r="T291" s="25"/>
      <c r="U291" s="25"/>
      <c r="V291" s="25"/>
      <c r="W291" s="25"/>
      <c r="X291" s="25"/>
      <c r="AF291" s="17" t="e">
        <f t="shared" si="41"/>
        <v>#REF!</v>
      </c>
    </row>
    <row r="292" spans="1:32" ht="25.5" customHeight="1" x14ac:dyDescent="0.3">
      <c r="A292" s="59"/>
      <c r="B292" s="49"/>
      <c r="C292" s="49"/>
      <c r="D292" s="50"/>
      <c r="E292" s="51"/>
      <c r="F292" s="52"/>
      <c r="G292" s="60"/>
      <c r="H292" s="52"/>
      <c r="I292" s="50"/>
      <c r="J292" s="37"/>
      <c r="K292" s="40"/>
      <c r="L292" s="56"/>
      <c r="M292" s="56"/>
      <c r="N292" s="142"/>
      <c r="O292" s="42"/>
      <c r="Q292" s="25"/>
      <c r="S292" s="25"/>
      <c r="T292" s="25"/>
      <c r="U292" s="25"/>
      <c r="V292" s="25"/>
      <c r="W292" s="25"/>
      <c r="X292" s="25"/>
      <c r="AF292" s="17" t="e">
        <f t="shared" si="41"/>
        <v>#REF!</v>
      </c>
    </row>
    <row r="293" spans="1:32" ht="25.5" customHeight="1" x14ac:dyDescent="0.3">
      <c r="A293" s="59"/>
      <c r="B293" s="49"/>
      <c r="C293" s="49"/>
      <c r="D293" s="50"/>
      <c r="E293" s="51"/>
      <c r="F293" s="52"/>
      <c r="G293" s="60"/>
      <c r="H293" s="52"/>
      <c r="I293" s="50"/>
      <c r="J293" s="37"/>
      <c r="K293" s="40"/>
      <c r="L293" s="56"/>
      <c r="M293" s="56"/>
      <c r="N293" s="142"/>
      <c r="O293" s="42" t="e">
        <f t="shared" si="42"/>
        <v>#DIV/0!</v>
      </c>
      <c r="Q293" s="25"/>
      <c r="S293" s="25"/>
      <c r="T293" s="25"/>
      <c r="U293" s="25"/>
      <c r="V293" s="25"/>
      <c r="W293" s="25"/>
      <c r="X293" s="25"/>
      <c r="AF293" s="17" t="e">
        <f t="shared" si="41"/>
        <v>#REF!</v>
      </c>
    </row>
    <row r="294" spans="1:32" ht="25.5" customHeight="1" x14ac:dyDescent="0.3">
      <c r="A294" s="59"/>
      <c r="B294" s="49"/>
      <c r="C294" s="49"/>
      <c r="D294" s="50"/>
      <c r="E294" s="51"/>
      <c r="F294" s="52"/>
      <c r="G294" s="60"/>
      <c r="H294" s="52"/>
      <c r="I294" s="50"/>
      <c r="J294" s="39"/>
      <c r="K294" s="40"/>
      <c r="L294" s="56"/>
      <c r="M294" s="56"/>
      <c r="N294" s="142"/>
      <c r="O294" s="42" t="e">
        <f t="shared" si="42"/>
        <v>#DIV/0!</v>
      </c>
      <c r="Q294" s="25"/>
      <c r="S294" s="25"/>
      <c r="T294" s="25"/>
      <c r="U294" s="25"/>
      <c r="V294" s="25"/>
      <c r="W294" s="25"/>
      <c r="X294" s="25"/>
      <c r="AF294" s="17" t="e">
        <f t="shared" si="41"/>
        <v>#REF!</v>
      </c>
    </row>
    <row r="295" spans="1:32" ht="25.5" customHeight="1" x14ac:dyDescent="0.3">
      <c r="A295" s="59"/>
      <c r="B295" s="49"/>
      <c r="C295" s="49"/>
      <c r="D295" s="50"/>
      <c r="E295" s="51"/>
      <c r="F295" s="52"/>
      <c r="G295" s="60"/>
      <c r="H295" s="52"/>
      <c r="I295" s="50"/>
      <c r="J295" s="39"/>
      <c r="K295" s="40"/>
      <c r="L295" s="56"/>
      <c r="M295" s="56"/>
      <c r="N295" s="142"/>
      <c r="O295" s="42" t="e">
        <f t="shared" si="42"/>
        <v>#DIV/0!</v>
      </c>
      <c r="Q295" s="25"/>
      <c r="S295" s="25"/>
      <c r="T295" s="25"/>
      <c r="U295" s="25"/>
      <c r="V295" s="25"/>
      <c r="W295" s="25"/>
      <c r="X295" s="25"/>
      <c r="AF295" s="17" t="e">
        <f t="shared" si="41"/>
        <v>#REF!</v>
      </c>
    </row>
    <row r="296" spans="1:32" ht="25.5" customHeight="1" x14ac:dyDescent="0.3">
      <c r="A296" s="59"/>
      <c r="B296" s="49"/>
      <c r="C296" s="49"/>
      <c r="D296" s="50"/>
      <c r="E296" s="51"/>
      <c r="F296" s="52"/>
      <c r="G296" s="60"/>
      <c r="H296" s="52"/>
      <c r="I296" s="50"/>
      <c r="J296" s="39"/>
      <c r="K296" s="40"/>
      <c r="L296" s="56"/>
      <c r="M296" s="56"/>
      <c r="N296" s="142"/>
      <c r="O296" s="42" t="e">
        <f t="shared" si="42"/>
        <v>#DIV/0!</v>
      </c>
      <c r="Q296" s="25"/>
      <c r="S296" s="25"/>
      <c r="T296" s="25"/>
      <c r="U296" s="25"/>
      <c r="V296" s="25"/>
      <c r="W296" s="25"/>
      <c r="X296" s="25"/>
      <c r="AF296" s="17" t="e">
        <f t="shared" si="41"/>
        <v>#REF!</v>
      </c>
    </row>
    <row r="297" spans="1:32" ht="25.5" customHeight="1" x14ac:dyDescent="0.3">
      <c r="A297" s="138"/>
      <c r="B297" s="49"/>
      <c r="C297" s="49"/>
      <c r="D297" s="50"/>
      <c r="E297" s="51"/>
      <c r="F297" s="52"/>
      <c r="G297" s="60"/>
      <c r="H297" s="52"/>
      <c r="I297" s="50"/>
      <c r="J297" s="54"/>
      <c r="K297" s="40"/>
      <c r="L297" s="56"/>
      <c r="M297" s="56"/>
      <c r="N297" s="142"/>
      <c r="O297" s="42" t="e">
        <f t="shared" si="42"/>
        <v>#DIV/0!</v>
      </c>
      <c r="Q297" s="25"/>
      <c r="S297" s="25"/>
      <c r="T297" s="25"/>
      <c r="U297" s="25"/>
      <c r="V297" s="25"/>
      <c r="W297" s="25"/>
      <c r="X297" s="25"/>
      <c r="AF297" s="17" t="e">
        <f t="shared" si="41"/>
        <v>#REF!</v>
      </c>
    </row>
    <row r="298" spans="1:32" ht="25.5" customHeight="1" x14ac:dyDescent="0.3">
      <c r="A298" s="59"/>
      <c r="B298" s="49"/>
      <c r="C298" s="49"/>
      <c r="D298" s="50"/>
      <c r="E298" s="51"/>
      <c r="F298" s="52"/>
      <c r="G298" s="60"/>
      <c r="H298" s="52"/>
      <c r="I298" s="50"/>
      <c r="J298" s="39"/>
      <c r="K298" s="40"/>
      <c r="L298" s="56"/>
      <c r="M298" s="56"/>
      <c r="N298" s="142"/>
      <c r="O298" s="42" t="e">
        <f t="shared" si="42"/>
        <v>#DIV/0!</v>
      </c>
      <c r="Q298" s="25"/>
      <c r="S298" s="25"/>
      <c r="T298" s="25"/>
      <c r="U298" s="25"/>
      <c r="V298" s="25"/>
      <c r="W298" s="25"/>
      <c r="X298" s="25"/>
      <c r="AF298" s="17" t="e">
        <f t="shared" si="41"/>
        <v>#REF!</v>
      </c>
    </row>
    <row r="299" spans="1:32" ht="25.5" customHeight="1" x14ac:dyDescent="0.3">
      <c r="A299" s="59"/>
      <c r="B299" s="148"/>
      <c r="C299" s="49"/>
      <c r="D299" s="50"/>
      <c r="E299" s="51"/>
      <c r="F299" s="52"/>
      <c r="G299" s="60"/>
      <c r="H299" s="52"/>
      <c r="I299" s="50"/>
      <c r="J299" s="37"/>
      <c r="K299" s="40"/>
      <c r="L299" s="56"/>
      <c r="M299" s="56"/>
      <c r="N299" s="142"/>
      <c r="O299" s="42" t="e">
        <f t="shared" si="42"/>
        <v>#DIV/0!</v>
      </c>
      <c r="Q299" s="25"/>
      <c r="S299" s="25"/>
      <c r="T299" s="25"/>
      <c r="U299" s="25"/>
      <c r="V299" s="25"/>
      <c r="W299" s="25"/>
      <c r="X299" s="25"/>
      <c r="AF299" s="17" t="e">
        <f t="shared" si="41"/>
        <v>#REF!</v>
      </c>
    </row>
    <row r="300" spans="1:32" ht="25.5" customHeight="1" x14ac:dyDescent="0.3">
      <c r="A300" s="59"/>
      <c r="B300" s="49"/>
      <c r="C300" s="50"/>
      <c r="D300" s="50"/>
      <c r="E300" s="51"/>
      <c r="F300" s="52"/>
      <c r="G300" s="60"/>
      <c r="H300" s="52"/>
      <c r="I300" s="50"/>
      <c r="J300" s="37"/>
      <c r="K300" s="40"/>
      <c r="L300" s="56"/>
      <c r="M300" s="56"/>
      <c r="N300" s="142"/>
      <c r="O300" s="42" t="e">
        <f t="shared" si="42"/>
        <v>#DIV/0!</v>
      </c>
      <c r="Q300" s="25"/>
      <c r="S300" s="25"/>
      <c r="T300" s="25"/>
      <c r="U300" s="25"/>
      <c r="V300" s="25"/>
      <c r="W300" s="25"/>
      <c r="X300" s="25"/>
      <c r="AF300" s="17" t="e">
        <f t="shared" si="41"/>
        <v>#REF!</v>
      </c>
    </row>
    <row r="301" spans="1:32" ht="25.5" customHeight="1" x14ac:dyDescent="0.3">
      <c r="A301" s="59"/>
      <c r="B301" s="49"/>
      <c r="C301" s="49"/>
      <c r="D301" s="50"/>
      <c r="E301" s="51"/>
      <c r="F301" s="52"/>
      <c r="G301" s="60"/>
      <c r="H301" s="52"/>
      <c r="I301" s="50"/>
      <c r="J301" s="39"/>
      <c r="K301" s="40"/>
      <c r="L301" s="56"/>
      <c r="M301" s="56"/>
      <c r="N301" s="142"/>
      <c r="O301" s="42" t="e">
        <f t="shared" si="42"/>
        <v>#DIV/0!</v>
      </c>
      <c r="Q301" s="25"/>
      <c r="S301" s="25"/>
      <c r="T301" s="25"/>
      <c r="U301" s="25"/>
      <c r="V301" s="25"/>
      <c r="W301" s="25"/>
      <c r="X301" s="25"/>
      <c r="AF301" s="17" t="e">
        <f t="shared" si="41"/>
        <v>#REF!</v>
      </c>
    </row>
    <row r="302" spans="1:32" ht="25.5" customHeight="1" x14ac:dyDescent="0.3">
      <c r="A302" s="59"/>
      <c r="B302" s="49"/>
      <c r="C302" s="49"/>
      <c r="D302" s="50"/>
      <c r="E302" s="51"/>
      <c r="F302" s="52"/>
      <c r="G302" s="60"/>
      <c r="H302" s="52"/>
      <c r="I302" s="50"/>
      <c r="J302" s="39"/>
      <c r="K302" s="40"/>
      <c r="L302" s="56"/>
      <c r="M302" s="56"/>
      <c r="N302" s="142"/>
      <c r="O302" s="42" t="e">
        <f t="shared" si="42"/>
        <v>#DIV/0!</v>
      </c>
      <c r="Q302" s="25"/>
      <c r="S302" s="25"/>
      <c r="T302" s="25"/>
      <c r="U302" s="25"/>
      <c r="V302" s="25"/>
      <c r="W302" s="25"/>
      <c r="X302" s="25"/>
      <c r="AF302" s="17" t="e">
        <f t="shared" si="41"/>
        <v>#REF!</v>
      </c>
    </row>
    <row r="303" spans="1:32" ht="25.5" customHeight="1" x14ac:dyDescent="0.3">
      <c r="A303" s="59"/>
      <c r="B303" s="49"/>
      <c r="C303" s="49"/>
      <c r="D303" s="50"/>
      <c r="E303" s="51"/>
      <c r="F303" s="52"/>
      <c r="G303" s="60"/>
      <c r="H303" s="52"/>
      <c r="I303" s="50"/>
      <c r="J303" s="37"/>
      <c r="K303" s="40"/>
      <c r="L303" s="56"/>
      <c r="M303" s="56"/>
      <c r="N303" s="142"/>
      <c r="O303" s="42" t="e">
        <f t="shared" si="42"/>
        <v>#DIV/0!</v>
      </c>
      <c r="Q303" s="25"/>
      <c r="S303" s="25"/>
      <c r="T303" s="25"/>
      <c r="U303" s="25"/>
      <c r="V303" s="25"/>
      <c r="W303" s="25"/>
      <c r="X303" s="25"/>
      <c r="AF303" s="17" t="e">
        <f t="shared" si="41"/>
        <v>#REF!</v>
      </c>
    </row>
    <row r="304" spans="1:32" ht="25.5" customHeight="1" x14ac:dyDescent="0.3">
      <c r="A304" s="59"/>
      <c r="B304" s="49"/>
      <c r="C304" s="49"/>
      <c r="D304" s="50"/>
      <c r="E304" s="51"/>
      <c r="F304" s="52"/>
      <c r="G304" s="60"/>
      <c r="H304" s="52"/>
      <c r="I304" s="50"/>
      <c r="J304" s="39"/>
      <c r="K304" s="40"/>
      <c r="L304" s="56"/>
      <c r="M304" s="56"/>
      <c r="N304" s="142"/>
      <c r="O304" s="42" t="e">
        <f t="shared" si="42"/>
        <v>#DIV/0!</v>
      </c>
      <c r="Q304" s="25"/>
      <c r="S304" s="25"/>
      <c r="T304" s="25"/>
      <c r="U304" s="25"/>
      <c r="V304" s="25"/>
      <c r="W304" s="25"/>
      <c r="X304" s="25"/>
      <c r="AF304" s="17" t="e">
        <f t="shared" si="41"/>
        <v>#REF!</v>
      </c>
    </row>
    <row r="305" spans="1:32" ht="25.5" customHeight="1" x14ac:dyDescent="0.3">
      <c r="A305" s="59"/>
      <c r="B305" s="49"/>
      <c r="C305" s="49"/>
      <c r="D305" s="50"/>
      <c r="E305" s="51"/>
      <c r="F305" s="52"/>
      <c r="G305" s="60"/>
      <c r="H305" s="52"/>
      <c r="I305" s="50"/>
      <c r="J305" s="54"/>
      <c r="K305" s="40"/>
      <c r="L305" s="56"/>
      <c r="M305" s="56"/>
      <c r="N305" s="142"/>
      <c r="O305" s="42" t="e">
        <f t="shared" si="42"/>
        <v>#DIV/0!</v>
      </c>
      <c r="Q305" s="25"/>
      <c r="S305" s="25"/>
      <c r="T305" s="25"/>
      <c r="U305" s="25"/>
      <c r="V305" s="25"/>
      <c r="W305" s="25"/>
      <c r="X305" s="25"/>
      <c r="AF305" s="17" t="e">
        <f t="shared" si="41"/>
        <v>#REF!</v>
      </c>
    </row>
    <row r="306" spans="1:32" ht="25.5" customHeight="1" x14ac:dyDescent="0.3">
      <c r="A306" s="59"/>
      <c r="B306" s="49"/>
      <c r="C306" s="49"/>
      <c r="D306" s="50"/>
      <c r="E306" s="51"/>
      <c r="F306" s="52"/>
      <c r="G306" s="60"/>
      <c r="H306" s="52"/>
      <c r="I306" s="50"/>
      <c r="J306" s="39"/>
      <c r="K306" s="40"/>
      <c r="L306" s="56"/>
      <c r="M306" s="56"/>
      <c r="N306" s="142"/>
      <c r="O306" s="42" t="e">
        <f t="shared" si="42"/>
        <v>#DIV/0!</v>
      </c>
      <c r="Q306" s="25"/>
      <c r="S306" s="25"/>
      <c r="T306" s="25"/>
      <c r="U306" s="25"/>
      <c r="V306" s="25"/>
      <c r="W306" s="25"/>
      <c r="X306" s="25"/>
      <c r="AF306" s="17" t="e">
        <f t="shared" si="41"/>
        <v>#REF!</v>
      </c>
    </row>
    <row r="307" spans="1:32" ht="25.5" customHeight="1" x14ac:dyDescent="0.3">
      <c r="A307" s="59"/>
      <c r="B307" s="148"/>
      <c r="C307" s="49"/>
      <c r="D307" s="50"/>
      <c r="E307" s="51"/>
      <c r="F307" s="52"/>
      <c r="G307" s="60"/>
      <c r="H307" s="52"/>
      <c r="I307" s="50"/>
      <c r="J307" s="37"/>
      <c r="K307" s="40"/>
      <c r="L307" s="56"/>
      <c r="M307" s="56"/>
      <c r="N307" s="142"/>
      <c r="O307" s="42" t="e">
        <f t="shared" si="42"/>
        <v>#DIV/0!</v>
      </c>
      <c r="Q307" s="25"/>
      <c r="S307" s="25"/>
      <c r="T307" s="25"/>
      <c r="U307" s="25"/>
      <c r="V307" s="25"/>
      <c r="W307" s="25"/>
      <c r="X307" s="25"/>
      <c r="AF307" s="17" t="e">
        <f t="shared" si="41"/>
        <v>#REF!</v>
      </c>
    </row>
    <row r="308" spans="1:32" ht="25.5" customHeight="1" x14ac:dyDescent="0.3">
      <c r="A308" s="59"/>
      <c r="B308" s="49"/>
      <c r="C308" s="50"/>
      <c r="D308" s="50"/>
      <c r="E308" s="51"/>
      <c r="F308" s="52"/>
      <c r="G308" s="60"/>
      <c r="H308" s="52"/>
      <c r="I308" s="50"/>
      <c r="J308" s="37"/>
      <c r="K308" s="40"/>
      <c r="L308" s="56"/>
      <c r="M308" s="56"/>
      <c r="N308" s="142"/>
      <c r="O308" s="42" t="e">
        <f t="shared" si="42"/>
        <v>#DIV/0!</v>
      </c>
      <c r="Q308" s="25"/>
      <c r="S308" s="25"/>
      <c r="T308" s="25"/>
      <c r="U308" s="25"/>
      <c r="V308" s="25"/>
      <c r="W308" s="25"/>
      <c r="X308" s="25"/>
      <c r="AF308" s="17" t="e">
        <f t="shared" si="41"/>
        <v>#REF!</v>
      </c>
    </row>
    <row r="309" spans="1:32" ht="25.5" customHeight="1" x14ac:dyDescent="0.3">
      <c r="A309" s="59"/>
      <c r="B309" s="49"/>
      <c r="C309" s="49"/>
      <c r="D309" s="50"/>
      <c r="E309" s="51"/>
      <c r="F309" s="52"/>
      <c r="G309" s="60"/>
      <c r="H309" s="52"/>
      <c r="I309" s="50"/>
      <c r="J309" s="39"/>
      <c r="K309" s="40"/>
      <c r="L309" s="56"/>
      <c r="M309" s="56"/>
      <c r="N309" s="142"/>
      <c r="O309" s="42" t="e">
        <f t="shared" si="42"/>
        <v>#DIV/0!</v>
      </c>
      <c r="Q309" s="25"/>
      <c r="S309" s="25"/>
      <c r="T309" s="25"/>
      <c r="U309" s="25"/>
      <c r="V309" s="25"/>
      <c r="W309" s="25"/>
      <c r="X309" s="25"/>
      <c r="AF309" s="17" t="e">
        <f t="shared" si="41"/>
        <v>#REF!</v>
      </c>
    </row>
    <row r="310" spans="1:32" ht="25.5" customHeight="1" x14ac:dyDescent="0.3">
      <c r="A310" s="59"/>
      <c r="B310" s="49"/>
      <c r="C310" s="49"/>
      <c r="D310" s="50"/>
      <c r="E310" s="51"/>
      <c r="F310" s="52"/>
      <c r="G310" s="60"/>
      <c r="H310" s="52"/>
      <c r="I310" s="50"/>
      <c r="J310" s="39"/>
      <c r="K310" s="40"/>
      <c r="L310" s="56"/>
      <c r="M310" s="56"/>
      <c r="N310" s="142"/>
      <c r="O310" s="42" t="e">
        <f t="shared" si="42"/>
        <v>#DIV/0!</v>
      </c>
      <c r="P310" s="25">
        <v>800</v>
      </c>
      <c r="Q310" s="25"/>
      <c r="S310" s="25"/>
      <c r="T310" s="25"/>
      <c r="U310" s="25"/>
      <c r="V310" s="25"/>
      <c r="W310" s="25"/>
      <c r="X310" s="25"/>
      <c r="AF310" s="17" t="e">
        <f t="shared" si="41"/>
        <v>#REF!</v>
      </c>
    </row>
    <row r="311" spans="1:32" ht="25.5" customHeight="1" x14ac:dyDescent="0.3">
      <c r="A311" s="59"/>
      <c r="B311" s="49"/>
      <c r="C311" s="49"/>
      <c r="D311" s="50"/>
      <c r="E311" s="51"/>
      <c r="F311" s="52"/>
      <c r="G311" s="60"/>
      <c r="H311" s="52"/>
      <c r="I311" s="50"/>
      <c r="J311" s="39"/>
      <c r="K311" s="40"/>
      <c r="L311" s="56"/>
      <c r="M311" s="56"/>
      <c r="N311" s="142"/>
      <c r="O311" s="42" t="e">
        <f t="shared" si="42"/>
        <v>#DIV/0!</v>
      </c>
      <c r="P311" s="25">
        <v>4095</v>
      </c>
      <c r="Q311" s="25"/>
      <c r="S311" s="25"/>
      <c r="T311" s="25"/>
      <c r="U311" s="25"/>
      <c r="V311" s="25"/>
      <c r="W311" s="25"/>
      <c r="X311" s="25"/>
      <c r="AF311" s="17" t="e">
        <f t="shared" si="41"/>
        <v>#REF!</v>
      </c>
    </row>
    <row r="312" spans="1:32" ht="25.5" customHeight="1" x14ac:dyDescent="0.3">
      <c r="A312" s="59"/>
      <c r="B312" s="49"/>
      <c r="C312" s="49"/>
      <c r="D312" s="50"/>
      <c r="E312" s="51"/>
      <c r="F312" s="52"/>
      <c r="G312" s="60"/>
      <c r="H312" s="52"/>
      <c r="I312" s="50"/>
      <c r="J312" s="39"/>
      <c r="K312" s="40"/>
      <c r="L312" s="56"/>
      <c r="M312" s="56"/>
      <c r="N312" s="142"/>
      <c r="O312" s="42" t="e">
        <f t="shared" si="42"/>
        <v>#DIV/0!</v>
      </c>
      <c r="P312" s="25">
        <v>4700</v>
      </c>
      <c r="Q312" s="25"/>
      <c r="S312" s="25"/>
      <c r="T312" s="25"/>
      <c r="U312" s="25"/>
      <c r="V312" s="25"/>
      <c r="W312" s="25"/>
      <c r="X312" s="25"/>
      <c r="AF312" s="17" t="e">
        <f t="shared" si="41"/>
        <v>#REF!</v>
      </c>
    </row>
    <row r="313" spans="1:32" ht="25.5" customHeight="1" x14ac:dyDescent="0.3">
      <c r="A313" s="59"/>
      <c r="B313" s="49"/>
      <c r="C313" s="49"/>
      <c r="D313" s="50"/>
      <c r="E313" s="51"/>
      <c r="F313" s="52"/>
      <c r="G313" s="60"/>
      <c r="H313" s="52"/>
      <c r="I313" s="50"/>
      <c r="J313" s="39"/>
      <c r="K313" s="40"/>
      <c r="L313" s="56"/>
      <c r="M313" s="56"/>
      <c r="N313" s="142"/>
      <c r="O313" s="42" t="e">
        <f t="shared" si="42"/>
        <v>#DIV/0!</v>
      </c>
      <c r="P313" s="25">
        <v>4740</v>
      </c>
      <c r="Q313" s="25"/>
      <c r="S313" s="25"/>
      <c r="T313" s="25"/>
      <c r="U313" s="25"/>
      <c r="V313" s="25"/>
      <c r="W313" s="25"/>
      <c r="X313" s="25"/>
      <c r="AF313" s="17" t="e">
        <f t="shared" si="41"/>
        <v>#REF!</v>
      </c>
    </row>
    <row r="314" spans="1:32" ht="25.5" customHeight="1" x14ac:dyDescent="0.3">
      <c r="A314" s="59"/>
      <c r="B314" s="49"/>
      <c r="C314" s="49"/>
      <c r="D314" s="50"/>
      <c r="E314" s="51"/>
      <c r="F314" s="52"/>
      <c r="G314" s="60"/>
      <c r="H314" s="52"/>
      <c r="I314" s="50"/>
      <c r="J314" s="39"/>
      <c r="K314" s="40"/>
      <c r="L314" s="56"/>
      <c r="M314" s="56"/>
      <c r="N314" s="142"/>
      <c r="O314" s="42" t="e">
        <f t="shared" si="42"/>
        <v>#DIV/0!</v>
      </c>
      <c r="P314" s="25">
        <f>854</f>
        <v>854</v>
      </c>
      <c r="Q314" s="25"/>
      <c r="S314" s="25"/>
      <c r="T314" s="25"/>
      <c r="U314" s="25"/>
      <c r="V314" s="25"/>
      <c r="W314" s="25"/>
      <c r="X314" s="25"/>
      <c r="AF314" s="17" t="e">
        <f t="shared" si="41"/>
        <v>#REF!</v>
      </c>
    </row>
    <row r="315" spans="1:32" ht="25.5" customHeight="1" x14ac:dyDescent="0.3">
      <c r="A315" s="59"/>
      <c r="B315" s="49"/>
      <c r="C315" s="49"/>
      <c r="D315" s="50"/>
      <c r="E315" s="51"/>
      <c r="F315" s="52"/>
      <c r="G315" s="60"/>
      <c r="H315" s="52"/>
      <c r="I315" s="50"/>
      <c r="J315" s="39"/>
      <c r="K315" s="40"/>
      <c r="L315" s="56"/>
      <c r="M315" s="56"/>
      <c r="N315" s="142"/>
      <c r="O315" s="42" t="e">
        <f t="shared" si="42"/>
        <v>#DIV/0!</v>
      </c>
      <c r="Q315" s="25"/>
      <c r="S315" s="25"/>
      <c r="T315" s="25"/>
      <c r="U315" s="25"/>
      <c r="V315" s="25"/>
      <c r="W315" s="25"/>
      <c r="X315" s="25"/>
      <c r="AF315" s="17" t="e">
        <f t="shared" si="41"/>
        <v>#REF!</v>
      </c>
    </row>
    <row r="316" spans="1:32" ht="25.5" customHeight="1" x14ac:dyDescent="0.3">
      <c r="A316" s="59"/>
      <c r="B316" s="49"/>
      <c r="C316" s="49"/>
      <c r="D316" s="50"/>
      <c r="E316" s="51"/>
      <c r="F316" s="52"/>
      <c r="G316" s="60"/>
      <c r="H316" s="52"/>
      <c r="I316" s="50"/>
      <c r="J316" s="37"/>
      <c r="K316" s="40"/>
      <c r="L316" s="56"/>
      <c r="M316" s="56"/>
      <c r="N316" s="142"/>
      <c r="O316" s="42" t="e">
        <f t="shared" si="42"/>
        <v>#DIV/0!</v>
      </c>
      <c r="Q316" s="25"/>
      <c r="S316" s="25"/>
      <c r="T316" s="25"/>
      <c r="U316" s="25"/>
      <c r="V316" s="25"/>
      <c r="W316" s="25"/>
      <c r="X316" s="25"/>
      <c r="AF316" s="17" t="e">
        <f t="shared" si="41"/>
        <v>#REF!</v>
      </c>
    </row>
    <row r="317" spans="1:32" ht="25.5" customHeight="1" x14ac:dyDescent="0.3">
      <c r="A317" s="59"/>
      <c r="B317" s="148"/>
      <c r="C317" s="49"/>
      <c r="D317" s="50"/>
      <c r="E317" s="51"/>
      <c r="F317" s="52"/>
      <c r="G317" s="60"/>
      <c r="H317" s="52"/>
      <c r="I317" s="50"/>
      <c r="J317" s="37"/>
      <c r="K317" s="40"/>
      <c r="L317" s="56"/>
      <c r="M317" s="56"/>
      <c r="N317" s="142"/>
      <c r="O317" s="42" t="e">
        <f t="shared" si="42"/>
        <v>#DIV/0!</v>
      </c>
      <c r="Q317" s="25"/>
      <c r="S317" s="25"/>
      <c r="T317" s="25"/>
      <c r="U317" s="25"/>
      <c r="V317" s="25"/>
      <c r="W317" s="25"/>
      <c r="X317" s="25"/>
      <c r="AF317" s="17" t="e">
        <f t="shared" si="41"/>
        <v>#REF!</v>
      </c>
    </row>
    <row r="318" spans="1:32" ht="25.5" customHeight="1" x14ac:dyDescent="0.3">
      <c r="A318" s="59"/>
      <c r="B318" s="49"/>
      <c r="C318" s="49"/>
      <c r="D318" s="50"/>
      <c r="E318" s="51"/>
      <c r="F318" s="52"/>
      <c r="G318" s="60"/>
      <c r="H318" s="52"/>
      <c r="I318" s="50"/>
      <c r="J318" s="118"/>
      <c r="K318" s="40"/>
      <c r="L318" s="56"/>
      <c r="M318" s="56"/>
      <c r="N318" s="142"/>
      <c r="O318" s="42" t="e">
        <f t="shared" si="42"/>
        <v>#DIV/0!</v>
      </c>
      <c r="Q318" s="25"/>
      <c r="S318" s="25"/>
      <c r="T318" s="25"/>
      <c r="U318" s="25"/>
      <c r="V318" s="25"/>
      <c r="W318" s="25"/>
      <c r="X318" s="25"/>
      <c r="AF318" s="17" t="e">
        <f t="shared" si="41"/>
        <v>#REF!</v>
      </c>
    </row>
    <row r="319" spans="1:32" ht="25.5" customHeight="1" x14ac:dyDescent="0.3">
      <c r="A319" s="59"/>
      <c r="B319" s="49"/>
      <c r="C319" s="49"/>
      <c r="D319" s="50"/>
      <c r="E319" s="51"/>
      <c r="F319" s="52"/>
      <c r="G319" s="60"/>
      <c r="H319" s="52"/>
      <c r="I319" s="50"/>
      <c r="J319" s="39"/>
      <c r="K319" s="40"/>
      <c r="L319" s="56"/>
      <c r="M319" s="56"/>
      <c r="N319" s="142"/>
      <c r="O319" s="42" t="e">
        <f t="shared" si="42"/>
        <v>#DIV/0!</v>
      </c>
      <c r="Q319" s="25"/>
      <c r="S319" s="25"/>
      <c r="T319" s="25"/>
      <c r="U319" s="25"/>
      <c r="V319" s="25"/>
      <c r="W319" s="25"/>
      <c r="X319" s="25"/>
      <c r="AF319" s="17" t="e">
        <f t="shared" si="41"/>
        <v>#REF!</v>
      </c>
    </row>
    <row r="320" spans="1:32" ht="25.5" customHeight="1" x14ac:dyDescent="0.3">
      <c r="A320" s="59"/>
      <c r="B320" s="49"/>
      <c r="C320" s="49"/>
      <c r="D320" s="50"/>
      <c r="E320" s="51"/>
      <c r="F320" s="52"/>
      <c r="G320" s="60"/>
      <c r="H320" s="52"/>
      <c r="I320" s="50"/>
      <c r="J320" s="54"/>
      <c r="K320" s="40"/>
      <c r="L320" s="56"/>
      <c r="M320" s="56"/>
      <c r="N320" s="142"/>
      <c r="O320" s="42" t="e">
        <f t="shared" si="42"/>
        <v>#DIV/0!</v>
      </c>
      <c r="Q320" s="25"/>
      <c r="S320" s="25"/>
      <c r="T320" s="25"/>
      <c r="U320" s="25"/>
      <c r="V320" s="25"/>
      <c r="W320" s="25"/>
      <c r="X320" s="25"/>
      <c r="AF320" s="17" t="e">
        <f t="shared" si="41"/>
        <v>#REF!</v>
      </c>
    </row>
    <row r="321" spans="1:32" ht="25.5" customHeight="1" x14ac:dyDescent="0.3">
      <c r="A321" s="59"/>
      <c r="B321" s="49"/>
      <c r="C321" s="49"/>
      <c r="D321" s="50"/>
      <c r="E321" s="51"/>
      <c r="F321" s="52"/>
      <c r="G321" s="60"/>
      <c r="H321" s="52"/>
      <c r="I321" s="50"/>
      <c r="J321" s="39"/>
      <c r="K321" s="40"/>
      <c r="L321" s="56"/>
      <c r="M321" s="56"/>
      <c r="N321" s="142"/>
      <c r="O321" s="42" t="e">
        <f t="shared" si="42"/>
        <v>#DIV/0!</v>
      </c>
      <c r="Q321" s="25"/>
      <c r="S321" s="25"/>
      <c r="T321" s="25"/>
      <c r="U321" s="25"/>
      <c r="V321" s="25"/>
      <c r="W321" s="25"/>
      <c r="X321" s="25"/>
      <c r="AF321" s="17" t="e">
        <f t="shared" si="41"/>
        <v>#REF!</v>
      </c>
    </row>
    <row r="322" spans="1:32" ht="25.5" customHeight="1" x14ac:dyDescent="0.3">
      <c r="A322" s="59"/>
      <c r="B322" s="148"/>
      <c r="C322" s="49"/>
      <c r="D322" s="50"/>
      <c r="E322" s="51"/>
      <c r="F322" s="52"/>
      <c r="G322" s="60"/>
      <c r="H322" s="52"/>
      <c r="I322" s="50"/>
      <c r="J322" s="37"/>
      <c r="K322" s="40"/>
      <c r="L322" s="56"/>
      <c r="M322" s="56"/>
      <c r="N322" s="142"/>
      <c r="O322" s="42" t="e">
        <f t="shared" si="42"/>
        <v>#DIV/0!</v>
      </c>
      <c r="P322" s="40">
        <v>3350</v>
      </c>
      <c r="Q322" s="56">
        <v>5</v>
      </c>
      <c r="S322" s="25"/>
      <c r="T322" s="25"/>
      <c r="U322" s="25"/>
      <c r="V322" s="25"/>
      <c r="W322" s="25"/>
      <c r="X322" s="25"/>
      <c r="AF322" s="17" t="e">
        <f t="shared" si="41"/>
        <v>#REF!</v>
      </c>
    </row>
    <row r="323" spans="1:32" ht="25.5" customHeight="1" x14ac:dyDescent="0.3">
      <c r="A323" s="59"/>
      <c r="B323" s="49"/>
      <c r="C323" s="50"/>
      <c r="D323" s="50"/>
      <c r="E323" s="51"/>
      <c r="F323" s="52"/>
      <c r="G323" s="60"/>
      <c r="H323" s="52"/>
      <c r="I323" s="50"/>
      <c r="J323" s="37"/>
      <c r="K323" s="40"/>
      <c r="L323" s="56"/>
      <c r="M323" s="56"/>
      <c r="N323" s="142"/>
      <c r="O323" s="42" t="e">
        <f t="shared" si="42"/>
        <v>#DIV/0!</v>
      </c>
      <c r="P323" s="40"/>
      <c r="Q323" s="56"/>
      <c r="S323" s="25"/>
      <c r="T323" s="25"/>
      <c r="U323" s="25"/>
      <c r="V323" s="25"/>
      <c r="W323" s="25"/>
      <c r="X323" s="25"/>
      <c r="AF323" s="17" t="e">
        <f t="shared" si="41"/>
        <v>#REF!</v>
      </c>
    </row>
    <row r="324" spans="1:32" ht="25.5" customHeight="1" x14ac:dyDescent="0.3">
      <c r="A324" s="59"/>
      <c r="B324" s="49"/>
      <c r="C324" s="49"/>
      <c r="D324" s="50"/>
      <c r="E324" s="51"/>
      <c r="F324" s="52"/>
      <c r="G324" s="60"/>
      <c r="H324" s="52"/>
      <c r="I324" s="50"/>
      <c r="J324" s="39"/>
      <c r="K324" s="40"/>
      <c r="L324" s="56"/>
      <c r="M324" s="56"/>
      <c r="N324" s="142"/>
      <c r="O324" s="42" t="e">
        <f t="shared" si="42"/>
        <v>#DIV/0!</v>
      </c>
      <c r="P324" s="40"/>
      <c r="Q324" s="56"/>
      <c r="S324" s="25"/>
      <c r="T324" s="25"/>
      <c r="U324" s="25"/>
      <c r="V324" s="25"/>
      <c r="W324" s="25"/>
      <c r="X324" s="25"/>
      <c r="AF324" s="17" t="e">
        <f t="shared" si="41"/>
        <v>#REF!</v>
      </c>
    </row>
    <row r="325" spans="1:32" ht="25.5" customHeight="1" x14ac:dyDescent="0.3">
      <c r="A325" s="59"/>
      <c r="B325" s="49"/>
      <c r="C325" s="49"/>
      <c r="D325" s="50"/>
      <c r="E325" s="51"/>
      <c r="F325" s="52"/>
      <c r="G325" s="60"/>
      <c r="H325" s="52"/>
      <c r="I325" s="50"/>
      <c r="J325" s="39"/>
      <c r="K325" s="40"/>
      <c r="L325" s="56"/>
      <c r="M325" s="56"/>
      <c r="N325" s="142"/>
      <c r="O325" s="42" t="e">
        <f t="shared" si="42"/>
        <v>#DIV/0!</v>
      </c>
      <c r="P325" s="40">
        <v>18410</v>
      </c>
      <c r="Q325" s="56">
        <v>10</v>
      </c>
      <c r="S325" s="25"/>
      <c r="T325" s="25"/>
      <c r="U325" s="25"/>
      <c r="V325" s="25"/>
      <c r="W325" s="25"/>
      <c r="X325" s="25"/>
      <c r="AF325" s="17" t="e">
        <f t="shared" si="41"/>
        <v>#REF!</v>
      </c>
    </row>
    <row r="326" spans="1:32" ht="25.5" customHeight="1" x14ac:dyDescent="0.3">
      <c r="A326" s="59"/>
      <c r="B326" s="49"/>
      <c r="C326" s="49"/>
      <c r="D326" s="50"/>
      <c r="E326" s="51"/>
      <c r="F326" s="52"/>
      <c r="G326" s="60"/>
      <c r="H326" s="52"/>
      <c r="I326" s="50"/>
      <c r="J326" s="118"/>
      <c r="K326" s="40"/>
      <c r="L326" s="56"/>
      <c r="M326" s="56"/>
      <c r="N326" s="142"/>
      <c r="O326" s="42" t="e">
        <f t="shared" si="42"/>
        <v>#DIV/0!</v>
      </c>
      <c r="P326" s="40"/>
      <c r="Q326" s="56"/>
      <c r="S326" s="25"/>
      <c r="T326" s="25"/>
      <c r="U326" s="25"/>
      <c r="V326" s="25"/>
      <c r="W326" s="25"/>
      <c r="X326" s="25"/>
      <c r="AF326" s="17" t="e">
        <f t="shared" si="41"/>
        <v>#REF!</v>
      </c>
    </row>
    <row r="327" spans="1:32" ht="25.5" customHeight="1" x14ac:dyDescent="0.3">
      <c r="A327" s="59"/>
      <c r="B327" s="49"/>
      <c r="C327" s="49"/>
      <c r="D327" s="50"/>
      <c r="E327" s="51"/>
      <c r="F327" s="52"/>
      <c r="G327" s="60"/>
      <c r="H327" s="52"/>
      <c r="I327" s="50"/>
      <c r="J327" s="37"/>
      <c r="K327" s="40"/>
      <c r="L327" s="56"/>
      <c r="M327" s="56"/>
      <c r="N327" s="142"/>
      <c r="O327" s="42" t="e">
        <f t="shared" si="42"/>
        <v>#DIV/0!</v>
      </c>
      <c r="P327" s="40"/>
      <c r="Q327" s="56"/>
      <c r="S327" s="25"/>
      <c r="T327" s="25"/>
      <c r="U327" s="25"/>
      <c r="V327" s="25"/>
      <c r="W327" s="25"/>
      <c r="X327" s="25"/>
      <c r="AF327" s="17" t="e">
        <f t="shared" si="41"/>
        <v>#REF!</v>
      </c>
    </row>
    <row r="328" spans="1:32" ht="25.5" customHeight="1" x14ac:dyDescent="0.3">
      <c r="A328" s="59"/>
      <c r="B328" s="49"/>
      <c r="C328" s="49"/>
      <c r="D328" s="50"/>
      <c r="E328" s="51"/>
      <c r="F328" s="52"/>
      <c r="G328" s="60"/>
      <c r="H328" s="52"/>
      <c r="I328" s="50"/>
      <c r="J328" s="37"/>
      <c r="K328" s="40"/>
      <c r="L328" s="56"/>
      <c r="M328" s="56"/>
      <c r="N328" s="142"/>
      <c r="O328" s="42" t="e">
        <f t="shared" si="42"/>
        <v>#DIV/0!</v>
      </c>
      <c r="P328" s="40">
        <v>6500</v>
      </c>
      <c r="Q328" s="56">
        <v>13</v>
      </c>
      <c r="S328" s="25"/>
      <c r="T328" s="25"/>
      <c r="U328" s="25"/>
      <c r="V328" s="25"/>
      <c r="W328" s="25"/>
      <c r="X328" s="25"/>
      <c r="AF328" s="17" t="e">
        <f t="shared" si="41"/>
        <v>#REF!</v>
      </c>
    </row>
    <row r="329" spans="1:32" ht="25.5" customHeight="1" x14ac:dyDescent="0.3">
      <c r="A329" s="59"/>
      <c r="B329" s="49"/>
      <c r="C329" s="49"/>
      <c r="D329" s="50"/>
      <c r="E329" s="51"/>
      <c r="F329" s="52"/>
      <c r="G329" s="60"/>
      <c r="H329" s="52"/>
      <c r="I329" s="50"/>
      <c r="J329" s="39"/>
      <c r="K329" s="40"/>
      <c r="L329" s="56"/>
      <c r="M329" s="56"/>
      <c r="N329" s="142"/>
      <c r="O329" s="42" t="e">
        <f t="shared" si="42"/>
        <v>#DIV/0!</v>
      </c>
      <c r="P329" s="40"/>
      <c r="Q329" s="56"/>
      <c r="S329" s="25"/>
      <c r="T329" s="25"/>
      <c r="U329" s="25"/>
      <c r="V329" s="25"/>
      <c r="W329" s="25"/>
      <c r="X329" s="25"/>
      <c r="AF329" s="17" t="e">
        <f t="shared" si="41"/>
        <v>#REF!</v>
      </c>
    </row>
    <row r="330" spans="1:32" ht="25.5" customHeight="1" x14ac:dyDescent="0.3">
      <c r="A330" s="59"/>
      <c r="B330" s="49"/>
      <c r="C330" s="49"/>
      <c r="D330" s="50"/>
      <c r="E330" s="51"/>
      <c r="F330" s="52"/>
      <c r="G330" s="60"/>
      <c r="H330" s="52"/>
      <c r="I330" s="50"/>
      <c r="J330" s="39"/>
      <c r="K330" s="40"/>
      <c r="L330" s="56"/>
      <c r="M330" s="56"/>
      <c r="N330" s="142"/>
      <c r="O330" s="42" t="e">
        <f t="shared" si="42"/>
        <v>#DIV/0!</v>
      </c>
      <c r="P330" s="40"/>
      <c r="Q330" s="56"/>
      <c r="S330" s="25"/>
      <c r="T330" s="25"/>
      <c r="U330" s="25"/>
      <c r="V330" s="25"/>
      <c r="W330" s="25"/>
      <c r="X330" s="25"/>
      <c r="AF330" s="17" t="e">
        <f t="shared" si="41"/>
        <v>#REF!</v>
      </c>
    </row>
    <row r="331" spans="1:32" ht="25.5" customHeight="1" x14ac:dyDescent="0.3">
      <c r="A331" s="138"/>
      <c r="B331" s="49"/>
      <c r="C331" s="49"/>
      <c r="D331" s="50"/>
      <c r="E331" s="51"/>
      <c r="F331" s="52"/>
      <c r="G331" s="60"/>
      <c r="H331" s="52"/>
      <c r="I331" s="50"/>
      <c r="J331" s="39"/>
      <c r="K331" s="40"/>
      <c r="L331" s="56"/>
      <c r="M331" s="56"/>
      <c r="N331" s="142"/>
      <c r="O331" s="42" t="e">
        <f t="shared" si="42"/>
        <v>#DIV/0!</v>
      </c>
      <c r="P331" s="40">
        <v>63</v>
      </c>
      <c r="Q331" s="56"/>
      <c r="S331" s="25"/>
      <c r="T331" s="25"/>
      <c r="U331" s="25"/>
      <c r="V331" s="25"/>
      <c r="W331" s="25"/>
      <c r="X331" s="25"/>
      <c r="AF331" s="17" t="e">
        <f t="shared" si="41"/>
        <v>#REF!</v>
      </c>
    </row>
    <row r="332" spans="1:32" ht="25.5" customHeight="1" x14ac:dyDescent="0.3">
      <c r="A332" s="59"/>
      <c r="B332" s="49"/>
      <c r="C332" s="49"/>
      <c r="D332" s="50"/>
      <c r="E332" s="51"/>
      <c r="F332" s="52"/>
      <c r="G332" s="60"/>
      <c r="H332" s="52"/>
      <c r="I332" s="50"/>
      <c r="J332" s="76"/>
      <c r="K332" s="40"/>
      <c r="L332" s="56"/>
      <c r="M332" s="56"/>
      <c r="N332" s="142"/>
      <c r="O332" s="42" t="e">
        <f t="shared" si="42"/>
        <v>#DIV/0!</v>
      </c>
      <c r="P332" s="40">
        <v>7700</v>
      </c>
      <c r="Q332" s="56">
        <v>6</v>
      </c>
      <c r="S332" s="25"/>
      <c r="T332" s="25"/>
      <c r="U332" s="25"/>
      <c r="V332" s="25"/>
      <c r="W332" s="25"/>
      <c r="X332" s="25"/>
      <c r="AF332" s="17" t="e">
        <f t="shared" si="41"/>
        <v>#REF!</v>
      </c>
    </row>
    <row r="333" spans="1:32" ht="25.5" customHeight="1" x14ac:dyDescent="0.3">
      <c r="A333" s="59"/>
      <c r="B333" s="148"/>
      <c r="C333" s="49"/>
      <c r="D333" s="50"/>
      <c r="E333" s="51"/>
      <c r="F333" s="52"/>
      <c r="G333" s="60"/>
      <c r="H333" s="52"/>
      <c r="I333" s="50"/>
      <c r="J333" s="54"/>
      <c r="K333" s="40"/>
      <c r="L333" s="56"/>
      <c r="M333" s="56"/>
      <c r="N333" s="142"/>
      <c r="O333" s="42" t="e">
        <f t="shared" si="42"/>
        <v>#DIV/0!</v>
      </c>
      <c r="Q333" s="25"/>
      <c r="S333" s="25"/>
      <c r="T333" s="25"/>
      <c r="U333" s="25"/>
      <c r="V333" s="25"/>
      <c r="W333" s="25"/>
      <c r="X333" s="25"/>
      <c r="AF333" s="17" t="e">
        <f t="shared" si="41"/>
        <v>#REF!</v>
      </c>
    </row>
    <row r="334" spans="1:32" ht="25.5" customHeight="1" x14ac:dyDescent="0.3">
      <c r="A334" s="59"/>
      <c r="B334" s="49"/>
      <c r="C334" s="49"/>
      <c r="D334" s="50"/>
      <c r="E334" s="51"/>
      <c r="F334" s="52"/>
      <c r="G334" s="60"/>
      <c r="H334" s="52"/>
      <c r="I334" s="50"/>
      <c r="J334" s="39"/>
      <c r="K334" s="40"/>
      <c r="L334" s="56"/>
      <c r="M334" s="56"/>
      <c r="N334" s="142"/>
      <c r="O334" s="42" t="e">
        <f t="shared" si="42"/>
        <v>#DIV/0!</v>
      </c>
      <c r="Q334" s="25"/>
      <c r="S334" s="25"/>
      <c r="T334" s="25"/>
      <c r="U334" s="25"/>
      <c r="V334" s="25"/>
      <c r="W334" s="25"/>
      <c r="X334" s="25"/>
      <c r="AF334" s="17" t="e">
        <f t="shared" si="41"/>
        <v>#REF!</v>
      </c>
    </row>
    <row r="335" spans="1:32" ht="25.5" customHeight="1" x14ac:dyDescent="0.3">
      <c r="A335" s="59"/>
      <c r="B335" s="49"/>
      <c r="C335" s="49"/>
      <c r="D335" s="50"/>
      <c r="E335" s="51"/>
      <c r="F335" s="52"/>
      <c r="G335" s="60"/>
      <c r="H335" s="52"/>
      <c r="I335" s="50"/>
      <c r="J335" s="118"/>
      <c r="K335" s="40"/>
      <c r="L335" s="56"/>
      <c r="M335" s="56"/>
      <c r="N335" s="142"/>
      <c r="O335" s="42" t="e">
        <f t="shared" si="42"/>
        <v>#DIV/0!</v>
      </c>
      <c r="Q335" s="25"/>
      <c r="S335" s="25"/>
      <c r="T335" s="25"/>
      <c r="U335" s="25"/>
      <c r="V335" s="25"/>
      <c r="W335" s="25"/>
      <c r="X335" s="25"/>
      <c r="AF335" s="17" t="e">
        <f t="shared" si="41"/>
        <v>#REF!</v>
      </c>
    </row>
    <row r="336" spans="1:32" ht="25.5" customHeight="1" x14ac:dyDescent="0.3">
      <c r="A336" s="59"/>
      <c r="B336" s="49"/>
      <c r="C336" s="49"/>
      <c r="D336" s="50"/>
      <c r="E336" s="51"/>
      <c r="F336" s="52"/>
      <c r="G336" s="60"/>
      <c r="H336" s="52"/>
      <c r="I336" s="50"/>
      <c r="J336" s="118"/>
      <c r="K336" s="40"/>
      <c r="L336" s="56"/>
      <c r="M336" s="56"/>
      <c r="N336" s="142"/>
      <c r="O336" s="42" t="e">
        <f t="shared" si="42"/>
        <v>#DIV/0!</v>
      </c>
      <c r="P336" s="25">
        <f>650/9*5</f>
        <v>361.11111111111114</v>
      </c>
      <c r="Q336" s="25"/>
      <c r="S336" s="25"/>
      <c r="T336" s="25"/>
      <c r="U336" s="25"/>
      <c r="V336" s="25"/>
      <c r="W336" s="25"/>
      <c r="X336" s="25"/>
      <c r="AF336" s="17" t="e">
        <f t="shared" si="41"/>
        <v>#REF!</v>
      </c>
    </row>
    <row r="337" spans="1:32" ht="25.5" customHeight="1" x14ac:dyDescent="0.3">
      <c r="A337" s="59"/>
      <c r="B337" s="49"/>
      <c r="C337" s="49"/>
      <c r="D337" s="50"/>
      <c r="E337" s="51"/>
      <c r="F337" s="52"/>
      <c r="G337" s="60"/>
      <c r="H337" s="52"/>
      <c r="I337" s="50"/>
      <c r="J337" s="37"/>
      <c r="K337" s="40"/>
      <c r="L337" s="56"/>
      <c r="M337" s="56"/>
      <c r="N337" s="142"/>
      <c r="O337" s="42"/>
      <c r="Q337" s="25"/>
      <c r="S337" s="25"/>
      <c r="T337" s="25"/>
      <c r="U337" s="25"/>
      <c r="V337" s="25"/>
      <c r="W337" s="25"/>
      <c r="X337" s="25"/>
      <c r="AF337" s="17" t="e">
        <f t="shared" si="41"/>
        <v>#REF!</v>
      </c>
    </row>
    <row r="338" spans="1:32" ht="25.5" customHeight="1" x14ac:dyDescent="0.3">
      <c r="A338" s="59"/>
      <c r="B338" s="49"/>
      <c r="C338" s="49"/>
      <c r="D338" s="50"/>
      <c r="E338" s="51"/>
      <c r="F338" s="52"/>
      <c r="G338" s="60"/>
      <c r="H338" s="52"/>
      <c r="I338" s="50"/>
      <c r="J338" s="39"/>
      <c r="K338" s="40"/>
      <c r="L338" s="56"/>
      <c r="M338" s="56"/>
      <c r="N338" s="142"/>
      <c r="O338" s="42" t="e">
        <f t="shared" si="42"/>
        <v>#DIV/0!</v>
      </c>
      <c r="Q338" s="25"/>
      <c r="S338" s="25"/>
      <c r="T338" s="25"/>
      <c r="U338" s="25"/>
      <c r="V338" s="25"/>
      <c r="W338" s="25"/>
      <c r="X338" s="25"/>
      <c r="AF338" s="17" t="e">
        <f t="shared" si="41"/>
        <v>#REF!</v>
      </c>
    </row>
    <row r="339" spans="1:32" ht="25.5" customHeight="1" x14ac:dyDescent="0.3">
      <c r="A339" s="59"/>
      <c r="B339" s="49"/>
      <c r="C339" s="49"/>
      <c r="D339" s="50"/>
      <c r="E339" s="51"/>
      <c r="F339" s="52"/>
      <c r="G339" s="60"/>
      <c r="H339" s="52"/>
      <c r="I339" s="50"/>
      <c r="J339" s="39"/>
      <c r="K339" s="40"/>
      <c r="L339" s="56"/>
      <c r="M339" s="56"/>
      <c r="N339" s="142"/>
      <c r="O339" s="42" t="e">
        <f t="shared" si="42"/>
        <v>#DIV/0!</v>
      </c>
      <c r="Q339" s="25"/>
      <c r="S339" s="25"/>
      <c r="T339" s="25"/>
      <c r="U339" s="25"/>
      <c r="V339" s="25"/>
      <c r="W339" s="25"/>
      <c r="X339" s="25"/>
      <c r="AF339" s="17" t="e">
        <f t="shared" si="41"/>
        <v>#REF!</v>
      </c>
    </row>
    <row r="340" spans="1:32" ht="25.5" customHeight="1" x14ac:dyDescent="0.3">
      <c r="A340" s="59"/>
      <c r="B340" s="49"/>
      <c r="C340" s="49"/>
      <c r="D340" s="50"/>
      <c r="E340" s="51"/>
      <c r="F340" s="52"/>
      <c r="G340" s="60"/>
      <c r="H340" s="52"/>
      <c r="I340" s="50"/>
      <c r="J340" s="39"/>
      <c r="K340" s="40"/>
      <c r="L340" s="56"/>
      <c r="M340" s="56"/>
      <c r="N340" s="149"/>
      <c r="O340" s="42" t="e">
        <f t="shared" si="42"/>
        <v>#DIV/0!</v>
      </c>
      <c r="Q340" s="25"/>
      <c r="S340" s="25"/>
      <c r="T340" s="25"/>
      <c r="U340" s="25"/>
      <c r="V340" s="25"/>
      <c r="W340" s="25"/>
      <c r="X340" s="25"/>
      <c r="AF340" s="17" t="e">
        <f t="shared" si="41"/>
        <v>#REF!</v>
      </c>
    </row>
    <row r="341" spans="1:32" ht="25.5" customHeight="1" x14ac:dyDescent="0.3">
      <c r="A341" s="59"/>
      <c r="B341" s="49"/>
      <c r="C341" s="49"/>
      <c r="D341" s="50"/>
      <c r="E341" s="51"/>
      <c r="F341" s="52"/>
      <c r="G341" s="60"/>
      <c r="H341" s="52"/>
      <c r="I341" s="50"/>
      <c r="J341" s="39"/>
      <c r="K341" s="40"/>
      <c r="L341" s="56"/>
      <c r="M341" s="56"/>
      <c r="N341" s="149"/>
      <c r="O341" s="42"/>
      <c r="Q341" s="25"/>
      <c r="S341" s="25"/>
      <c r="T341" s="25"/>
      <c r="U341" s="25"/>
      <c r="V341" s="25"/>
      <c r="W341" s="25"/>
      <c r="X341" s="25"/>
      <c r="AF341" s="17" t="e">
        <f t="shared" ref="AF341:AF404" si="43">+IF(A341&lt;&gt;0,A341,IF(AND(A341="",AE341=1),"",AF340))</f>
        <v>#REF!</v>
      </c>
    </row>
    <row r="342" spans="1:32" ht="25.5" customHeight="1" x14ac:dyDescent="0.3">
      <c r="A342" s="59"/>
      <c r="B342" s="148"/>
      <c r="C342" s="49"/>
      <c r="D342" s="50"/>
      <c r="E342" s="51"/>
      <c r="F342" s="52"/>
      <c r="G342" s="60"/>
      <c r="H342" s="52"/>
      <c r="I342" s="50"/>
      <c r="J342" s="54"/>
      <c r="K342" s="40"/>
      <c r="L342" s="56"/>
      <c r="M342" s="56"/>
      <c r="N342" s="149"/>
      <c r="O342" s="42"/>
      <c r="Q342" s="25"/>
      <c r="S342" s="25"/>
      <c r="T342" s="25"/>
      <c r="U342" s="25"/>
      <c r="V342" s="25"/>
      <c r="W342" s="25"/>
      <c r="X342" s="25"/>
      <c r="AF342" s="17" t="e">
        <f t="shared" si="43"/>
        <v>#REF!</v>
      </c>
    </row>
    <row r="343" spans="1:32" ht="25.5" customHeight="1" x14ac:dyDescent="0.3">
      <c r="A343" s="59"/>
      <c r="B343" s="49"/>
      <c r="C343" s="49"/>
      <c r="D343" s="50"/>
      <c r="E343" s="51"/>
      <c r="F343" s="52"/>
      <c r="G343" s="60"/>
      <c r="H343" s="52"/>
      <c r="I343" s="50"/>
      <c r="J343" s="54"/>
      <c r="K343" s="40"/>
      <c r="L343" s="56"/>
      <c r="M343" s="56"/>
      <c r="N343" s="149"/>
      <c r="O343" s="42"/>
      <c r="Q343" s="25"/>
      <c r="S343" s="25"/>
      <c r="T343" s="25"/>
      <c r="U343" s="25"/>
      <c r="V343" s="25"/>
      <c r="W343" s="25"/>
      <c r="X343" s="25"/>
      <c r="AF343" s="17" t="e">
        <f t="shared" si="43"/>
        <v>#REF!</v>
      </c>
    </row>
    <row r="344" spans="1:32" ht="25.5" customHeight="1" x14ac:dyDescent="0.3">
      <c r="A344" s="59"/>
      <c r="B344" s="49"/>
      <c r="C344" s="49"/>
      <c r="D344" s="50"/>
      <c r="E344" s="51"/>
      <c r="F344" s="52"/>
      <c r="G344" s="60"/>
      <c r="H344" s="52"/>
      <c r="I344" s="50"/>
      <c r="J344" s="118"/>
      <c r="K344" s="40"/>
      <c r="L344" s="56"/>
      <c r="M344" s="56"/>
      <c r="N344" s="149"/>
      <c r="O344" s="42"/>
      <c r="Q344" s="25"/>
      <c r="S344" s="25"/>
      <c r="T344" s="25"/>
      <c r="U344" s="25"/>
      <c r="V344" s="25"/>
      <c r="W344" s="25"/>
      <c r="X344" s="25"/>
      <c r="AF344" s="17" t="e">
        <f t="shared" si="43"/>
        <v>#REF!</v>
      </c>
    </row>
    <row r="345" spans="1:32" ht="25.5" customHeight="1" x14ac:dyDescent="0.3">
      <c r="A345" s="59"/>
      <c r="B345" s="49"/>
      <c r="C345" s="49"/>
      <c r="D345" s="50"/>
      <c r="E345" s="51"/>
      <c r="F345" s="52"/>
      <c r="G345" s="60"/>
      <c r="H345" s="52"/>
      <c r="I345" s="50"/>
      <c r="J345" s="54"/>
      <c r="K345" s="40"/>
      <c r="L345" s="56"/>
      <c r="M345" s="56"/>
      <c r="N345" s="149"/>
      <c r="O345" s="42"/>
      <c r="Q345" s="25"/>
      <c r="S345" s="25"/>
      <c r="T345" s="25"/>
      <c r="U345" s="25"/>
      <c r="V345" s="25"/>
      <c r="W345" s="25"/>
      <c r="X345" s="25"/>
      <c r="AF345" s="17" t="e">
        <f t="shared" si="43"/>
        <v>#REF!</v>
      </c>
    </row>
    <row r="346" spans="1:32" ht="25.5" customHeight="1" x14ac:dyDescent="0.3">
      <c r="A346" s="59"/>
      <c r="B346" s="49"/>
      <c r="C346" s="49"/>
      <c r="D346" s="50"/>
      <c r="E346" s="51"/>
      <c r="F346" s="52"/>
      <c r="G346" s="60"/>
      <c r="H346" s="52"/>
      <c r="I346" s="50"/>
      <c r="J346" s="37"/>
      <c r="K346" s="40"/>
      <c r="L346" s="56"/>
      <c r="M346" s="56"/>
      <c r="N346" s="149"/>
      <c r="O346" s="42"/>
      <c r="Q346" s="25"/>
      <c r="S346" s="25"/>
      <c r="T346" s="25"/>
      <c r="U346" s="25"/>
      <c r="V346" s="25"/>
      <c r="W346" s="25"/>
      <c r="X346" s="25"/>
      <c r="AF346" s="17" t="e">
        <f t="shared" si="43"/>
        <v>#REF!</v>
      </c>
    </row>
    <row r="347" spans="1:32" ht="25.5" customHeight="1" x14ac:dyDescent="0.3">
      <c r="A347" s="59"/>
      <c r="B347" s="49"/>
      <c r="C347" s="49"/>
      <c r="D347" s="50"/>
      <c r="E347" s="51"/>
      <c r="F347" s="52"/>
      <c r="G347" s="60"/>
      <c r="H347" s="52"/>
      <c r="I347" s="50"/>
      <c r="J347" s="39"/>
      <c r="K347" s="40"/>
      <c r="L347" s="56"/>
      <c r="M347" s="56"/>
      <c r="N347" s="149"/>
      <c r="O347" s="42"/>
      <c r="Q347" s="25"/>
      <c r="S347" s="25"/>
      <c r="T347" s="25"/>
      <c r="U347" s="25"/>
      <c r="V347" s="25"/>
      <c r="W347" s="25"/>
      <c r="X347" s="25"/>
      <c r="AF347" s="17" t="e">
        <f t="shared" si="43"/>
        <v>#REF!</v>
      </c>
    </row>
    <row r="348" spans="1:32" ht="25.5" customHeight="1" x14ac:dyDescent="0.3">
      <c r="A348" s="59"/>
      <c r="B348" s="49"/>
      <c r="C348" s="49"/>
      <c r="D348" s="50"/>
      <c r="E348" s="51"/>
      <c r="F348" s="52"/>
      <c r="G348" s="60"/>
      <c r="H348" s="52"/>
      <c r="I348" s="50"/>
      <c r="J348" s="39"/>
      <c r="K348" s="40"/>
      <c r="L348" s="56"/>
      <c r="M348" s="56"/>
      <c r="N348" s="149"/>
      <c r="O348" s="42"/>
      <c r="Q348" s="25"/>
      <c r="S348" s="25"/>
      <c r="T348" s="25"/>
      <c r="U348" s="25"/>
      <c r="V348" s="25"/>
      <c r="W348" s="25"/>
      <c r="X348" s="25"/>
      <c r="AF348" s="17" t="e">
        <f t="shared" si="43"/>
        <v>#REF!</v>
      </c>
    </row>
    <row r="349" spans="1:32" ht="25.5" customHeight="1" x14ac:dyDescent="0.3">
      <c r="A349" s="59"/>
      <c r="B349" s="49"/>
      <c r="C349" s="49"/>
      <c r="D349" s="50"/>
      <c r="E349" s="51"/>
      <c r="F349" s="52"/>
      <c r="G349" s="60"/>
      <c r="H349" s="52"/>
      <c r="I349" s="50"/>
      <c r="J349" s="39"/>
      <c r="K349" s="40"/>
      <c r="L349" s="56"/>
      <c r="M349" s="56"/>
      <c r="N349" s="149"/>
      <c r="O349" s="42"/>
      <c r="Q349" s="25"/>
      <c r="S349" s="25"/>
      <c r="T349" s="25"/>
      <c r="U349" s="25"/>
      <c r="V349" s="25"/>
      <c r="W349" s="25"/>
      <c r="X349" s="25"/>
      <c r="AF349" s="17" t="e">
        <f t="shared" si="43"/>
        <v>#REF!</v>
      </c>
    </row>
    <row r="350" spans="1:32" ht="25.5" customHeight="1" x14ac:dyDescent="0.3">
      <c r="A350" s="59"/>
      <c r="B350" s="49"/>
      <c r="C350" s="49"/>
      <c r="D350" s="50"/>
      <c r="E350" s="51"/>
      <c r="F350" s="52"/>
      <c r="G350" s="60"/>
      <c r="H350" s="52"/>
      <c r="I350" s="50"/>
      <c r="J350" s="54"/>
      <c r="K350" s="40"/>
      <c r="L350" s="56"/>
      <c r="M350" s="56"/>
      <c r="N350" s="149"/>
      <c r="O350" s="42"/>
      <c r="Q350" s="25"/>
      <c r="S350" s="25"/>
      <c r="T350" s="25"/>
      <c r="U350" s="25"/>
      <c r="V350" s="25"/>
      <c r="W350" s="25"/>
      <c r="X350" s="25"/>
      <c r="AF350" s="17" t="e">
        <f t="shared" si="43"/>
        <v>#REF!</v>
      </c>
    </row>
    <row r="351" spans="1:32" ht="25.5" customHeight="1" x14ac:dyDescent="0.3">
      <c r="A351" s="59"/>
      <c r="B351" s="49"/>
      <c r="C351" s="49"/>
      <c r="D351" s="50"/>
      <c r="E351" s="51"/>
      <c r="F351" s="52"/>
      <c r="G351" s="60"/>
      <c r="H351" s="52"/>
      <c r="I351" s="50"/>
      <c r="J351" s="118"/>
      <c r="K351" s="40"/>
      <c r="L351" s="56"/>
      <c r="M351" s="56"/>
      <c r="N351" s="149"/>
      <c r="O351" s="42"/>
      <c r="Q351" s="25"/>
      <c r="S351" s="25"/>
      <c r="T351" s="25"/>
      <c r="U351" s="25"/>
      <c r="V351" s="25"/>
      <c r="W351" s="25"/>
      <c r="X351" s="25"/>
      <c r="AF351" s="17" t="e">
        <f t="shared" si="43"/>
        <v>#REF!</v>
      </c>
    </row>
    <row r="352" spans="1:32" ht="25.5" customHeight="1" x14ac:dyDescent="0.3">
      <c r="A352" s="59"/>
      <c r="B352" s="148"/>
      <c r="C352" s="49"/>
      <c r="D352" s="50"/>
      <c r="E352" s="51"/>
      <c r="F352" s="52"/>
      <c r="G352" s="60"/>
      <c r="H352" s="52"/>
      <c r="I352" s="50"/>
      <c r="J352" s="76"/>
      <c r="K352" s="40"/>
      <c r="L352" s="56"/>
      <c r="M352" s="56"/>
      <c r="N352" s="149"/>
      <c r="O352" s="42"/>
      <c r="Q352" s="25"/>
      <c r="S352" s="25"/>
      <c r="T352" s="25"/>
      <c r="U352" s="25"/>
      <c r="V352" s="25"/>
      <c r="W352" s="25"/>
      <c r="X352" s="25"/>
      <c r="AF352" s="17" t="e">
        <f t="shared" si="43"/>
        <v>#REF!</v>
      </c>
    </row>
    <row r="353" spans="1:32" ht="25.5" customHeight="1" x14ac:dyDescent="0.3">
      <c r="A353" s="59"/>
      <c r="B353" s="49"/>
      <c r="C353" s="49"/>
      <c r="D353" s="50"/>
      <c r="E353" s="51"/>
      <c r="F353" s="52"/>
      <c r="G353" s="60"/>
      <c r="H353" s="52"/>
      <c r="I353" s="50"/>
      <c r="J353" s="37"/>
      <c r="K353" s="40"/>
      <c r="L353" s="56"/>
      <c r="M353" s="56"/>
      <c r="N353" s="149"/>
      <c r="O353" s="42"/>
      <c r="Q353" s="25"/>
      <c r="S353" s="25"/>
      <c r="T353" s="25"/>
      <c r="U353" s="25"/>
      <c r="V353" s="25"/>
      <c r="W353" s="25"/>
      <c r="X353" s="25"/>
      <c r="AF353" s="17" t="e">
        <f t="shared" si="43"/>
        <v>#REF!</v>
      </c>
    </row>
    <row r="354" spans="1:32" ht="25.5" customHeight="1" x14ac:dyDescent="0.3">
      <c r="A354" s="59"/>
      <c r="B354" s="49"/>
      <c r="C354" s="49"/>
      <c r="D354" s="50"/>
      <c r="E354" s="51"/>
      <c r="F354" s="52"/>
      <c r="G354" s="60"/>
      <c r="H354" s="52"/>
      <c r="I354" s="50"/>
      <c r="J354" s="39"/>
      <c r="K354" s="40"/>
      <c r="L354" s="56"/>
      <c r="M354" s="56"/>
      <c r="N354" s="149"/>
      <c r="O354" s="42"/>
      <c r="Q354" s="25"/>
      <c r="S354" s="25"/>
      <c r="T354" s="25"/>
      <c r="U354" s="25"/>
      <c r="V354" s="25"/>
      <c r="W354" s="25"/>
      <c r="X354" s="25"/>
      <c r="AF354" s="17" t="e">
        <f t="shared" si="43"/>
        <v>#REF!</v>
      </c>
    </row>
    <row r="355" spans="1:32" ht="25.5" customHeight="1" x14ac:dyDescent="0.3">
      <c r="A355" s="59"/>
      <c r="B355" s="49"/>
      <c r="C355" s="49"/>
      <c r="D355" s="50"/>
      <c r="E355" s="51"/>
      <c r="F355" s="52"/>
      <c r="G355" s="60"/>
      <c r="H355" s="52"/>
      <c r="I355" s="50"/>
      <c r="J355" s="39"/>
      <c r="K355" s="40"/>
      <c r="L355" s="56"/>
      <c r="M355" s="56"/>
      <c r="N355" s="149"/>
      <c r="O355" s="42"/>
      <c r="Q355" s="25"/>
      <c r="S355" s="25"/>
      <c r="T355" s="25"/>
      <c r="U355" s="25"/>
      <c r="V355" s="25"/>
      <c r="W355" s="25"/>
      <c r="X355" s="25"/>
      <c r="AF355" s="17" t="e">
        <f t="shared" si="43"/>
        <v>#REF!</v>
      </c>
    </row>
    <row r="356" spans="1:32" ht="25.5" customHeight="1" x14ac:dyDescent="0.3">
      <c r="A356" s="59"/>
      <c r="B356" s="49"/>
      <c r="C356" s="49"/>
      <c r="D356" s="50"/>
      <c r="E356" s="51"/>
      <c r="F356" s="52"/>
      <c r="G356" s="60"/>
      <c r="H356" s="52"/>
      <c r="I356" s="50"/>
      <c r="J356" s="39"/>
      <c r="K356" s="40"/>
      <c r="L356" s="56"/>
      <c r="M356" s="56"/>
      <c r="N356" s="149"/>
      <c r="O356" s="42"/>
      <c r="Q356" s="25"/>
      <c r="S356" s="25"/>
      <c r="T356" s="25"/>
      <c r="U356" s="25"/>
      <c r="V356" s="25"/>
      <c r="W356" s="25"/>
      <c r="X356" s="25"/>
      <c r="AF356" s="17" t="e">
        <f t="shared" si="43"/>
        <v>#REF!</v>
      </c>
    </row>
    <row r="357" spans="1:32" ht="25.5" customHeight="1" x14ac:dyDescent="0.3">
      <c r="A357" s="59"/>
      <c r="B357" s="49"/>
      <c r="C357" s="49"/>
      <c r="D357" s="50"/>
      <c r="E357" s="51"/>
      <c r="F357" s="52"/>
      <c r="G357" s="60"/>
      <c r="H357" s="52"/>
      <c r="I357" s="50"/>
      <c r="J357" s="54"/>
      <c r="K357" s="40"/>
      <c r="L357" s="56"/>
      <c r="M357" s="56"/>
      <c r="N357" s="149"/>
      <c r="O357" s="42"/>
      <c r="Q357" s="25"/>
      <c r="S357" s="25"/>
      <c r="T357" s="25"/>
      <c r="U357" s="25"/>
      <c r="V357" s="25"/>
      <c r="W357" s="25"/>
      <c r="X357" s="25"/>
      <c r="AF357" s="17" t="e">
        <f t="shared" si="43"/>
        <v>#REF!</v>
      </c>
    </row>
    <row r="358" spans="1:32" ht="25.5" customHeight="1" x14ac:dyDescent="0.3">
      <c r="A358" s="59"/>
      <c r="B358" s="49"/>
      <c r="C358" s="49"/>
      <c r="D358" s="50"/>
      <c r="E358" s="51"/>
      <c r="F358" s="52"/>
      <c r="G358" s="60"/>
      <c r="H358" s="52"/>
      <c r="I358" s="50"/>
      <c r="J358" s="118"/>
      <c r="K358" s="40"/>
      <c r="L358" s="56"/>
      <c r="M358" s="56"/>
      <c r="N358" s="149"/>
      <c r="O358" s="42">
        <f>4744-1625</f>
        <v>3119</v>
      </c>
      <c r="Q358" s="25"/>
      <c r="S358" s="25"/>
      <c r="T358" s="25"/>
      <c r="U358" s="25"/>
      <c r="V358" s="25"/>
      <c r="W358" s="25"/>
      <c r="X358" s="25"/>
      <c r="AF358" s="17" t="e">
        <f t="shared" si="43"/>
        <v>#REF!</v>
      </c>
    </row>
    <row r="359" spans="1:32" ht="25.5" customHeight="1" x14ac:dyDescent="0.3">
      <c r="A359" s="59"/>
      <c r="B359" s="49"/>
      <c r="C359" s="49"/>
      <c r="D359" s="50"/>
      <c r="E359" s="51"/>
      <c r="F359" s="52"/>
      <c r="G359" s="60"/>
      <c r="H359" s="52"/>
      <c r="I359" s="50"/>
      <c r="J359" s="37"/>
      <c r="K359" s="40"/>
      <c r="L359" s="56"/>
      <c r="M359" s="56"/>
      <c r="N359" s="149"/>
      <c r="O359" s="42"/>
      <c r="Q359" s="25"/>
      <c r="S359" s="25"/>
      <c r="T359" s="25"/>
      <c r="U359" s="25"/>
      <c r="V359" s="25"/>
      <c r="W359" s="25"/>
      <c r="X359" s="25"/>
      <c r="AF359" s="17" t="e">
        <f t="shared" si="43"/>
        <v>#REF!</v>
      </c>
    </row>
    <row r="360" spans="1:32" ht="25.5" customHeight="1" x14ac:dyDescent="0.3">
      <c r="A360" s="59"/>
      <c r="B360" s="49"/>
      <c r="C360" s="49"/>
      <c r="D360" s="50"/>
      <c r="E360" s="51"/>
      <c r="F360" s="52"/>
      <c r="G360" s="60"/>
      <c r="H360" s="52"/>
      <c r="I360" s="50"/>
      <c r="J360" s="37"/>
      <c r="K360" s="40"/>
      <c r="L360" s="56"/>
      <c r="M360" s="56"/>
      <c r="N360" s="149"/>
      <c r="O360" s="42"/>
      <c r="Q360" s="25"/>
      <c r="S360" s="25"/>
      <c r="T360" s="25"/>
      <c r="U360" s="25"/>
      <c r="V360" s="25"/>
      <c r="W360" s="25"/>
      <c r="X360" s="25"/>
      <c r="AF360" s="17" t="e">
        <f t="shared" si="43"/>
        <v>#REF!</v>
      </c>
    </row>
    <row r="361" spans="1:32" ht="25.5" customHeight="1" x14ac:dyDescent="0.3">
      <c r="A361" s="59"/>
      <c r="B361" s="49"/>
      <c r="C361" s="49"/>
      <c r="D361" s="50"/>
      <c r="E361" s="51"/>
      <c r="F361" s="52"/>
      <c r="G361" s="60"/>
      <c r="H361" s="52"/>
      <c r="I361" s="50"/>
      <c r="J361" s="39"/>
      <c r="K361" s="40"/>
      <c r="L361" s="56"/>
      <c r="M361" s="56"/>
      <c r="N361" s="149"/>
      <c r="O361" s="42"/>
      <c r="Q361" s="25"/>
      <c r="S361" s="25"/>
      <c r="T361" s="25"/>
      <c r="U361" s="25"/>
      <c r="V361" s="25"/>
      <c r="W361" s="25"/>
      <c r="X361" s="25"/>
      <c r="AF361" s="17" t="e">
        <f t="shared" si="43"/>
        <v>#REF!</v>
      </c>
    </row>
    <row r="362" spans="1:32" ht="25.5" customHeight="1" x14ac:dyDescent="0.3">
      <c r="A362" s="59"/>
      <c r="B362" s="148"/>
      <c r="C362" s="49"/>
      <c r="D362" s="50"/>
      <c r="E362" s="51"/>
      <c r="F362" s="52"/>
      <c r="G362" s="60"/>
      <c r="H362" s="52"/>
      <c r="I362" s="50"/>
      <c r="J362" s="39"/>
      <c r="K362" s="40"/>
      <c r="L362" s="56"/>
      <c r="M362" s="56"/>
      <c r="N362" s="149"/>
      <c r="O362" s="42"/>
      <c r="Q362" s="25"/>
      <c r="S362" s="25"/>
      <c r="T362" s="25"/>
      <c r="U362" s="25"/>
      <c r="V362" s="25"/>
      <c r="W362" s="25"/>
      <c r="X362" s="25"/>
      <c r="AF362" s="17" t="e">
        <f t="shared" si="43"/>
        <v>#REF!</v>
      </c>
    </row>
    <row r="363" spans="1:32" ht="25.5" customHeight="1" x14ac:dyDescent="0.3">
      <c r="A363" s="59"/>
      <c r="B363" s="148"/>
      <c r="C363" s="49"/>
      <c r="D363" s="50"/>
      <c r="E363" s="51"/>
      <c r="F363" s="52"/>
      <c r="G363" s="60"/>
      <c r="H363" s="52"/>
      <c r="I363" s="50"/>
      <c r="J363" s="39"/>
      <c r="K363" s="40"/>
      <c r="L363" s="56"/>
      <c r="M363" s="56"/>
      <c r="N363" s="149"/>
      <c r="O363" s="42"/>
      <c r="Q363" s="25"/>
      <c r="S363" s="25"/>
      <c r="T363" s="25"/>
      <c r="U363" s="25"/>
      <c r="V363" s="25"/>
      <c r="W363" s="25"/>
      <c r="X363" s="25"/>
      <c r="AF363" s="17" t="e">
        <f t="shared" si="43"/>
        <v>#REF!</v>
      </c>
    </row>
    <row r="364" spans="1:32" ht="25.5" customHeight="1" x14ac:dyDescent="0.3">
      <c r="A364" s="59"/>
      <c r="B364" s="49"/>
      <c r="C364" s="49"/>
      <c r="D364" s="50"/>
      <c r="E364" s="51"/>
      <c r="F364" s="52"/>
      <c r="G364" s="60"/>
      <c r="H364" s="52"/>
      <c r="I364" s="50"/>
      <c r="J364" s="54"/>
      <c r="K364" s="40"/>
      <c r="L364" s="56"/>
      <c r="M364" s="56"/>
      <c r="N364" s="149"/>
      <c r="O364" s="42"/>
      <c r="Q364" s="25"/>
      <c r="S364" s="25"/>
      <c r="T364" s="25"/>
      <c r="U364" s="25"/>
      <c r="V364" s="25"/>
      <c r="W364" s="25"/>
      <c r="X364" s="25"/>
      <c r="AF364" s="17" t="e">
        <f t="shared" si="43"/>
        <v>#REF!</v>
      </c>
    </row>
    <row r="365" spans="1:32" ht="25.5" customHeight="1" x14ac:dyDescent="0.3">
      <c r="A365" s="59"/>
      <c r="B365" s="49"/>
      <c r="C365" s="49"/>
      <c r="D365" s="50"/>
      <c r="E365" s="51"/>
      <c r="F365" s="52"/>
      <c r="G365" s="60"/>
      <c r="H365" s="52"/>
      <c r="I365" s="50"/>
      <c r="J365" s="118"/>
      <c r="K365" s="40"/>
      <c r="L365" s="56"/>
      <c r="M365" s="56"/>
      <c r="N365" s="149"/>
      <c r="O365" s="42"/>
      <c r="Q365" s="25"/>
      <c r="S365" s="25"/>
      <c r="T365" s="25"/>
      <c r="U365" s="25"/>
      <c r="V365" s="25"/>
      <c r="W365" s="25"/>
      <c r="X365" s="25"/>
      <c r="AF365" s="17" t="e">
        <f t="shared" si="43"/>
        <v>#REF!</v>
      </c>
    </row>
    <row r="366" spans="1:32" ht="25.5" customHeight="1" x14ac:dyDescent="0.3">
      <c r="A366" s="59"/>
      <c r="B366" s="49"/>
      <c r="C366" s="49"/>
      <c r="D366" s="50"/>
      <c r="E366" s="51"/>
      <c r="F366" s="52"/>
      <c r="G366" s="60"/>
      <c r="H366" s="52"/>
      <c r="I366" s="50"/>
      <c r="J366" s="39"/>
      <c r="K366" s="40"/>
      <c r="L366" s="56"/>
      <c r="M366" s="56"/>
      <c r="N366" s="149"/>
      <c r="O366" s="42"/>
      <c r="Q366" s="25"/>
      <c r="S366" s="25"/>
      <c r="T366" s="25"/>
      <c r="U366" s="25"/>
      <c r="V366" s="25"/>
      <c r="W366" s="25"/>
      <c r="X366" s="25"/>
      <c r="AF366" s="17" t="e">
        <f t="shared" si="43"/>
        <v>#REF!</v>
      </c>
    </row>
    <row r="367" spans="1:32" ht="25.5" customHeight="1" x14ac:dyDescent="0.3">
      <c r="A367" s="59"/>
      <c r="B367" s="49"/>
      <c r="C367" s="49"/>
      <c r="D367" s="50"/>
      <c r="E367" s="51"/>
      <c r="F367" s="52"/>
      <c r="G367" s="60"/>
      <c r="H367" s="52"/>
      <c r="I367" s="50"/>
      <c r="J367" s="37"/>
      <c r="K367" s="40"/>
      <c r="L367" s="56"/>
      <c r="M367" s="56"/>
      <c r="N367" s="149"/>
      <c r="O367" s="42"/>
      <c r="Q367" s="25"/>
      <c r="S367" s="25"/>
      <c r="T367" s="25"/>
      <c r="U367" s="25"/>
      <c r="V367" s="25"/>
      <c r="W367" s="25"/>
      <c r="X367" s="25"/>
      <c r="AF367" s="17" t="e">
        <f t="shared" si="43"/>
        <v>#REF!</v>
      </c>
    </row>
    <row r="368" spans="1:32" ht="25.5" customHeight="1" x14ac:dyDescent="0.3">
      <c r="A368" s="59"/>
      <c r="B368" s="49"/>
      <c r="C368" s="49"/>
      <c r="D368" s="50"/>
      <c r="E368" s="51"/>
      <c r="F368" s="52"/>
      <c r="G368" s="60"/>
      <c r="H368" s="52"/>
      <c r="I368" s="50"/>
      <c r="J368" s="39"/>
      <c r="K368" s="40"/>
      <c r="L368" s="56"/>
      <c r="M368" s="56"/>
      <c r="N368" s="149"/>
      <c r="O368" s="42"/>
      <c r="Q368" s="25"/>
      <c r="S368" s="25"/>
      <c r="T368" s="25"/>
      <c r="U368" s="25"/>
      <c r="V368" s="25"/>
      <c r="W368" s="25"/>
      <c r="X368" s="25"/>
      <c r="AF368" s="17" t="e">
        <f t="shared" si="43"/>
        <v>#REF!</v>
      </c>
    </row>
    <row r="369" spans="1:32" ht="25.5" customHeight="1" x14ac:dyDescent="0.3">
      <c r="A369" s="59"/>
      <c r="B369" s="49"/>
      <c r="C369" s="49"/>
      <c r="D369" s="50"/>
      <c r="E369" s="51"/>
      <c r="F369" s="52"/>
      <c r="G369" s="60"/>
      <c r="H369" s="52"/>
      <c r="I369" s="50"/>
      <c r="J369" s="39"/>
      <c r="K369" s="40"/>
      <c r="L369" s="56"/>
      <c r="M369" s="56"/>
      <c r="N369" s="149"/>
      <c r="O369" s="42"/>
      <c r="Q369" s="25"/>
      <c r="S369" s="25"/>
      <c r="T369" s="25"/>
      <c r="U369" s="25"/>
      <c r="V369" s="25"/>
      <c r="W369" s="25"/>
      <c r="X369" s="25"/>
      <c r="AF369" s="17" t="e">
        <f t="shared" si="43"/>
        <v>#REF!</v>
      </c>
    </row>
    <row r="370" spans="1:32" ht="25.5" customHeight="1" x14ac:dyDescent="0.3">
      <c r="A370" s="59"/>
      <c r="B370" s="49"/>
      <c r="C370" s="49"/>
      <c r="D370" s="50"/>
      <c r="E370" s="51"/>
      <c r="F370" s="52"/>
      <c r="G370" s="60"/>
      <c r="H370" s="52"/>
      <c r="I370" s="50"/>
      <c r="J370" s="39"/>
      <c r="K370" s="40"/>
      <c r="L370" s="56"/>
      <c r="M370" s="56"/>
      <c r="N370" s="149"/>
      <c r="O370" s="42"/>
      <c r="Q370" s="25"/>
      <c r="S370" s="25"/>
      <c r="T370" s="25"/>
      <c r="U370" s="25"/>
      <c r="V370" s="25"/>
      <c r="W370" s="25"/>
      <c r="X370" s="25"/>
      <c r="AF370" s="17" t="e">
        <f t="shared" si="43"/>
        <v>#REF!</v>
      </c>
    </row>
    <row r="371" spans="1:32" ht="25.5" customHeight="1" x14ac:dyDescent="0.3">
      <c r="A371" s="59"/>
      <c r="B371" s="49"/>
      <c r="C371" s="49"/>
      <c r="D371" s="50"/>
      <c r="E371" s="51"/>
      <c r="F371" s="52"/>
      <c r="G371" s="60"/>
      <c r="H371" s="52"/>
      <c r="I371" s="50"/>
      <c r="J371" s="54"/>
      <c r="K371" s="40"/>
      <c r="L371" s="56"/>
      <c r="M371" s="56"/>
      <c r="N371" s="149"/>
      <c r="O371" s="42"/>
      <c r="Q371" s="25"/>
      <c r="S371" s="25"/>
      <c r="T371" s="25"/>
      <c r="U371" s="25"/>
      <c r="V371" s="25"/>
      <c r="W371" s="25"/>
      <c r="X371" s="25"/>
      <c r="AF371" s="17" t="e">
        <f t="shared" si="43"/>
        <v>#REF!</v>
      </c>
    </row>
    <row r="372" spans="1:32" ht="25.5" customHeight="1" x14ac:dyDescent="0.3">
      <c r="A372" s="59"/>
      <c r="B372" s="49"/>
      <c r="C372" s="49"/>
      <c r="D372" s="50"/>
      <c r="E372" s="51"/>
      <c r="F372" s="52"/>
      <c r="G372" s="60"/>
      <c r="H372" s="52"/>
      <c r="I372" s="50"/>
      <c r="J372" s="118"/>
      <c r="K372" s="40"/>
      <c r="L372" s="56"/>
      <c r="M372" s="56"/>
      <c r="N372" s="149"/>
      <c r="O372" s="42"/>
      <c r="Q372" s="25"/>
      <c r="S372" s="25"/>
      <c r="T372" s="25"/>
      <c r="U372" s="25"/>
      <c r="V372" s="25"/>
      <c r="W372" s="25"/>
      <c r="X372" s="25"/>
      <c r="AF372" s="17" t="e">
        <f t="shared" si="43"/>
        <v>#REF!</v>
      </c>
    </row>
    <row r="373" spans="1:32" ht="25.5" customHeight="1" x14ac:dyDescent="0.3">
      <c r="A373" s="59"/>
      <c r="B373" s="49"/>
      <c r="C373" s="49"/>
      <c r="D373" s="50"/>
      <c r="E373" s="51"/>
      <c r="F373" s="52"/>
      <c r="G373" s="60"/>
      <c r="H373" s="52"/>
      <c r="I373" s="50"/>
      <c r="J373" s="39"/>
      <c r="K373" s="40"/>
      <c r="L373" s="56"/>
      <c r="M373" s="56"/>
      <c r="N373" s="149"/>
      <c r="O373" s="42"/>
      <c r="Q373" s="25"/>
      <c r="S373" s="25"/>
      <c r="T373" s="25"/>
      <c r="U373" s="25"/>
      <c r="V373" s="25"/>
      <c r="W373" s="25"/>
      <c r="X373" s="25"/>
      <c r="AF373" s="17" t="e">
        <f t="shared" si="43"/>
        <v>#REF!</v>
      </c>
    </row>
    <row r="374" spans="1:32" ht="25.5" customHeight="1" x14ac:dyDescent="0.3">
      <c r="A374" s="59"/>
      <c r="B374" s="49"/>
      <c r="C374" s="49"/>
      <c r="D374" s="50"/>
      <c r="E374" s="51"/>
      <c r="F374" s="52"/>
      <c r="G374" s="60"/>
      <c r="H374" s="52"/>
      <c r="I374" s="50"/>
      <c r="J374" s="37"/>
      <c r="K374" s="40"/>
      <c r="L374" s="56"/>
      <c r="M374" s="56"/>
      <c r="N374" s="149"/>
      <c r="O374" s="42"/>
      <c r="Q374" s="25"/>
      <c r="S374" s="25"/>
      <c r="T374" s="25"/>
      <c r="U374" s="25"/>
      <c r="V374" s="25"/>
      <c r="W374" s="25"/>
      <c r="X374" s="25"/>
      <c r="AF374" s="17" t="e">
        <f t="shared" si="43"/>
        <v>#REF!</v>
      </c>
    </row>
    <row r="375" spans="1:32" ht="25.5" customHeight="1" x14ac:dyDescent="0.3">
      <c r="A375" s="59"/>
      <c r="B375" s="49"/>
      <c r="C375" s="49"/>
      <c r="D375" s="50"/>
      <c r="E375" s="51"/>
      <c r="F375" s="52"/>
      <c r="G375" s="60"/>
      <c r="H375" s="52"/>
      <c r="I375" s="50"/>
      <c r="J375" s="39"/>
      <c r="K375" s="40"/>
      <c r="L375" s="56"/>
      <c r="M375" s="56"/>
      <c r="N375" s="149"/>
      <c r="O375" s="42"/>
      <c r="Q375" s="25"/>
      <c r="S375" s="25"/>
      <c r="T375" s="25"/>
      <c r="U375" s="25"/>
      <c r="V375" s="25"/>
      <c r="W375" s="25"/>
      <c r="X375" s="25"/>
      <c r="AF375" s="17" t="e">
        <f t="shared" si="43"/>
        <v>#REF!</v>
      </c>
    </row>
    <row r="376" spans="1:32" ht="25.5" customHeight="1" x14ac:dyDescent="0.3">
      <c r="A376" s="59"/>
      <c r="B376" s="49"/>
      <c r="C376" s="49"/>
      <c r="D376" s="50"/>
      <c r="E376" s="51"/>
      <c r="F376" s="52"/>
      <c r="G376" s="60"/>
      <c r="H376" s="52"/>
      <c r="I376" s="50"/>
      <c r="J376" s="39"/>
      <c r="K376" s="40"/>
      <c r="L376" s="56"/>
      <c r="M376" s="56"/>
      <c r="N376" s="149"/>
      <c r="O376" s="42"/>
      <c r="Q376" s="25"/>
      <c r="S376" s="25"/>
      <c r="T376" s="25"/>
      <c r="U376" s="25"/>
      <c r="V376" s="25"/>
      <c r="W376" s="25"/>
      <c r="X376" s="25"/>
      <c r="AF376" s="17" t="e">
        <f t="shared" si="43"/>
        <v>#REF!</v>
      </c>
    </row>
    <row r="377" spans="1:32" ht="25.5" customHeight="1" x14ac:dyDescent="0.3">
      <c r="A377" s="59"/>
      <c r="B377" s="49"/>
      <c r="C377" s="49"/>
      <c r="D377" s="50"/>
      <c r="E377" s="51"/>
      <c r="F377" s="52"/>
      <c r="G377" s="60"/>
      <c r="H377" s="52"/>
      <c r="I377" s="50"/>
      <c r="J377" s="39"/>
      <c r="K377" s="40"/>
      <c r="L377" s="56"/>
      <c r="M377" s="56"/>
      <c r="N377" s="149"/>
      <c r="O377" s="42"/>
      <c r="Q377" s="25"/>
      <c r="S377" s="25"/>
      <c r="T377" s="25"/>
      <c r="U377" s="25"/>
      <c r="V377" s="25"/>
      <c r="W377" s="25"/>
      <c r="X377" s="25"/>
      <c r="AF377" s="17" t="e">
        <f t="shared" si="43"/>
        <v>#REF!</v>
      </c>
    </row>
    <row r="378" spans="1:32" ht="25.5" customHeight="1" x14ac:dyDescent="0.3">
      <c r="A378" s="59"/>
      <c r="B378" s="49"/>
      <c r="C378" s="49"/>
      <c r="D378" s="50"/>
      <c r="E378" s="51"/>
      <c r="F378" s="52"/>
      <c r="G378" s="60"/>
      <c r="H378" s="52"/>
      <c r="I378" s="50"/>
      <c r="J378" s="39"/>
      <c r="K378" s="40"/>
      <c r="L378" s="56"/>
      <c r="M378" s="56"/>
      <c r="N378" s="149"/>
      <c r="O378" s="42"/>
      <c r="Q378" s="25"/>
      <c r="S378" s="25"/>
      <c r="T378" s="25"/>
      <c r="U378" s="25"/>
      <c r="V378" s="25"/>
      <c r="W378" s="25"/>
      <c r="X378" s="25"/>
      <c r="AF378" s="17" t="e">
        <f t="shared" si="43"/>
        <v>#REF!</v>
      </c>
    </row>
    <row r="379" spans="1:32" ht="25.5" customHeight="1" x14ac:dyDescent="0.3">
      <c r="A379" s="59"/>
      <c r="B379" s="49"/>
      <c r="C379" s="49"/>
      <c r="D379" s="50"/>
      <c r="E379" s="51"/>
      <c r="F379" s="52"/>
      <c r="G379" s="60"/>
      <c r="H379" s="52"/>
      <c r="I379" s="50"/>
      <c r="J379" s="54"/>
      <c r="K379" s="40"/>
      <c r="L379" s="56"/>
      <c r="M379" s="56"/>
      <c r="N379" s="149"/>
      <c r="O379" s="42"/>
      <c r="Q379" s="25"/>
      <c r="S379" s="25"/>
      <c r="T379" s="25"/>
      <c r="U379" s="25"/>
      <c r="V379" s="25"/>
      <c r="W379" s="25"/>
      <c r="X379" s="25"/>
      <c r="AF379" s="17" t="e">
        <f t="shared" si="43"/>
        <v>#REF!</v>
      </c>
    </row>
    <row r="380" spans="1:32" ht="25.5" customHeight="1" x14ac:dyDescent="0.3">
      <c r="A380" s="59"/>
      <c r="B380" s="49"/>
      <c r="C380" s="49"/>
      <c r="D380" s="50"/>
      <c r="E380" s="51"/>
      <c r="F380" s="52"/>
      <c r="G380" s="60"/>
      <c r="H380" s="52"/>
      <c r="I380" s="50"/>
      <c r="J380" s="118"/>
      <c r="K380" s="40"/>
      <c r="L380" s="56"/>
      <c r="M380" s="56"/>
      <c r="N380" s="149"/>
      <c r="O380" s="42"/>
      <c r="Q380" s="25"/>
      <c r="S380" s="25"/>
      <c r="T380" s="25"/>
      <c r="U380" s="25"/>
      <c r="V380" s="25"/>
      <c r="W380" s="25"/>
      <c r="X380" s="25"/>
      <c r="AF380" s="17" t="e">
        <f t="shared" si="43"/>
        <v>#REF!</v>
      </c>
    </row>
    <row r="381" spans="1:32" ht="25.5" customHeight="1" x14ac:dyDescent="0.3">
      <c r="A381" s="59"/>
      <c r="B381" s="49"/>
      <c r="C381" s="49"/>
      <c r="D381" s="50"/>
      <c r="E381" s="51"/>
      <c r="F381" s="52"/>
      <c r="G381" s="60"/>
      <c r="H381" s="52"/>
      <c r="I381" s="50"/>
      <c r="J381" s="39"/>
      <c r="K381" s="40"/>
      <c r="L381" s="56"/>
      <c r="M381" s="56"/>
      <c r="N381" s="149"/>
      <c r="O381" s="42"/>
      <c r="Q381" s="25"/>
      <c r="S381" s="25"/>
      <c r="T381" s="25"/>
      <c r="U381" s="25"/>
      <c r="V381" s="25"/>
      <c r="W381" s="25"/>
      <c r="X381" s="25"/>
      <c r="AF381" s="17" t="e">
        <f t="shared" si="43"/>
        <v>#REF!</v>
      </c>
    </row>
    <row r="382" spans="1:32" ht="25.5" customHeight="1" x14ac:dyDescent="0.3">
      <c r="A382" s="59"/>
      <c r="B382" s="49"/>
      <c r="C382" s="49"/>
      <c r="D382" s="50"/>
      <c r="E382" s="51"/>
      <c r="F382" s="52"/>
      <c r="G382" s="60"/>
      <c r="H382" s="52"/>
      <c r="I382" s="50"/>
      <c r="J382" s="37"/>
      <c r="K382" s="40"/>
      <c r="L382" s="56"/>
      <c r="M382" s="56"/>
      <c r="N382" s="149"/>
      <c r="O382" s="42"/>
      <c r="Q382" s="25"/>
      <c r="S382" s="25"/>
      <c r="T382" s="25"/>
      <c r="U382" s="25"/>
      <c r="V382" s="25"/>
      <c r="W382" s="25"/>
      <c r="X382" s="25"/>
      <c r="AF382" s="17" t="e">
        <f t="shared" si="43"/>
        <v>#REF!</v>
      </c>
    </row>
    <row r="383" spans="1:32" ht="25.5" customHeight="1" x14ac:dyDescent="0.3">
      <c r="A383" s="59"/>
      <c r="B383" s="49"/>
      <c r="C383" s="49"/>
      <c r="D383" s="50"/>
      <c r="E383" s="51"/>
      <c r="F383" s="52"/>
      <c r="G383" s="60"/>
      <c r="H383" s="52"/>
      <c r="I383" s="50"/>
      <c r="J383" s="39"/>
      <c r="K383" s="40"/>
      <c r="L383" s="56"/>
      <c r="M383" s="56"/>
      <c r="N383" s="149"/>
      <c r="O383" s="42"/>
      <c r="Q383" s="25"/>
      <c r="S383" s="25"/>
      <c r="T383" s="25"/>
      <c r="U383" s="25"/>
      <c r="V383" s="25"/>
      <c r="W383" s="25"/>
      <c r="X383" s="25"/>
      <c r="AF383" s="17" t="e">
        <f t="shared" si="43"/>
        <v>#REF!</v>
      </c>
    </row>
    <row r="384" spans="1:32" ht="25.5" customHeight="1" x14ac:dyDescent="0.3">
      <c r="A384" s="59"/>
      <c r="B384" s="49"/>
      <c r="C384" s="49"/>
      <c r="D384" s="50"/>
      <c r="E384" s="51"/>
      <c r="F384" s="52"/>
      <c r="G384" s="60"/>
      <c r="H384" s="52"/>
      <c r="I384" s="50"/>
      <c r="J384" s="39"/>
      <c r="K384" s="40"/>
      <c r="L384" s="56"/>
      <c r="M384" s="56"/>
      <c r="N384" s="149"/>
      <c r="O384" s="42"/>
      <c r="Q384" s="25"/>
      <c r="S384" s="25"/>
      <c r="T384" s="25"/>
      <c r="U384" s="25"/>
      <c r="V384" s="25"/>
      <c r="W384" s="25"/>
      <c r="X384" s="25"/>
      <c r="AF384" s="17" t="e">
        <f t="shared" si="43"/>
        <v>#REF!</v>
      </c>
    </row>
    <row r="385" spans="1:32" ht="25.5" customHeight="1" x14ac:dyDescent="0.3">
      <c r="A385" s="59"/>
      <c r="B385" s="49"/>
      <c r="C385" s="49"/>
      <c r="D385" s="50"/>
      <c r="E385" s="51"/>
      <c r="F385" s="52"/>
      <c r="G385" s="60"/>
      <c r="H385" s="52"/>
      <c r="I385" s="50"/>
      <c r="J385" s="39"/>
      <c r="K385" s="40"/>
      <c r="L385" s="56"/>
      <c r="M385" s="56"/>
      <c r="N385" s="149"/>
      <c r="O385" s="42"/>
      <c r="Q385" s="25"/>
      <c r="S385" s="25"/>
      <c r="T385" s="25"/>
      <c r="U385" s="25"/>
      <c r="V385" s="25"/>
      <c r="W385" s="25"/>
      <c r="X385" s="25"/>
      <c r="AF385" s="17" t="e">
        <f t="shared" si="43"/>
        <v>#REF!</v>
      </c>
    </row>
    <row r="386" spans="1:32" ht="25.5" customHeight="1" x14ac:dyDescent="0.3">
      <c r="A386" s="59"/>
      <c r="B386" s="49"/>
      <c r="C386" s="49"/>
      <c r="D386" s="50"/>
      <c r="E386" s="51"/>
      <c r="F386" s="52"/>
      <c r="G386" s="60"/>
      <c r="H386" s="52"/>
      <c r="I386" s="50"/>
      <c r="J386" s="39"/>
      <c r="K386" s="40"/>
      <c r="L386" s="56"/>
      <c r="M386" s="56"/>
      <c r="N386" s="149"/>
      <c r="O386" s="42"/>
      <c r="Q386" s="25"/>
      <c r="S386" s="25"/>
      <c r="T386" s="25"/>
      <c r="U386" s="25"/>
      <c r="V386" s="25"/>
      <c r="W386" s="25"/>
      <c r="X386" s="25"/>
      <c r="AF386" s="17" t="e">
        <f t="shared" si="43"/>
        <v>#REF!</v>
      </c>
    </row>
    <row r="387" spans="1:32" ht="25.5" customHeight="1" x14ac:dyDescent="0.3">
      <c r="A387" s="59"/>
      <c r="B387" s="49"/>
      <c r="C387" s="49"/>
      <c r="D387" s="50"/>
      <c r="E387" s="51"/>
      <c r="F387" s="52"/>
      <c r="G387" s="60"/>
      <c r="H387" s="52"/>
      <c r="I387" s="50"/>
      <c r="J387" s="54"/>
      <c r="K387" s="40"/>
      <c r="L387" s="56"/>
      <c r="M387" s="56"/>
      <c r="N387" s="149"/>
      <c r="O387" s="42"/>
      <c r="Q387" s="25"/>
      <c r="S387" s="25"/>
      <c r="T387" s="25"/>
      <c r="U387" s="25"/>
      <c r="V387" s="25"/>
      <c r="W387" s="25"/>
      <c r="X387" s="25"/>
      <c r="AF387" s="17" t="e">
        <f t="shared" si="43"/>
        <v>#REF!</v>
      </c>
    </row>
    <row r="388" spans="1:32" ht="25.5" customHeight="1" x14ac:dyDescent="0.3">
      <c r="A388" s="59"/>
      <c r="B388" s="49"/>
      <c r="C388" s="49"/>
      <c r="D388" s="50"/>
      <c r="E388" s="51"/>
      <c r="F388" s="52"/>
      <c r="G388" s="60"/>
      <c r="H388" s="52"/>
      <c r="I388" s="50"/>
      <c r="J388" s="39"/>
      <c r="K388" s="40"/>
      <c r="L388" s="56"/>
      <c r="M388" s="56"/>
      <c r="N388" s="149"/>
      <c r="O388" s="42"/>
      <c r="Q388" s="25"/>
      <c r="S388" s="25"/>
      <c r="T388" s="25"/>
      <c r="U388" s="25"/>
      <c r="V388" s="25"/>
      <c r="W388" s="25"/>
      <c r="X388" s="25"/>
      <c r="AF388" s="17" t="e">
        <f t="shared" si="43"/>
        <v>#REF!</v>
      </c>
    </row>
    <row r="389" spans="1:32" ht="25.5" customHeight="1" x14ac:dyDescent="0.3">
      <c r="A389" s="59"/>
      <c r="B389" s="49"/>
      <c r="C389" s="49"/>
      <c r="D389" s="50"/>
      <c r="E389" s="51"/>
      <c r="F389" s="52"/>
      <c r="G389" s="60"/>
      <c r="H389" s="52"/>
      <c r="I389" s="50"/>
      <c r="J389" s="118"/>
      <c r="K389" s="40"/>
      <c r="L389" s="56"/>
      <c r="M389" s="56"/>
      <c r="N389" s="149"/>
      <c r="O389" s="42"/>
      <c r="Q389" s="25"/>
      <c r="S389" s="25"/>
      <c r="T389" s="25"/>
      <c r="U389" s="25"/>
      <c r="V389" s="25"/>
      <c r="W389" s="25"/>
      <c r="X389" s="25"/>
      <c r="AF389" s="17" t="e">
        <f t="shared" si="43"/>
        <v>#REF!</v>
      </c>
    </row>
    <row r="390" spans="1:32" ht="25.5" customHeight="1" x14ac:dyDescent="0.3">
      <c r="A390" s="59"/>
      <c r="B390" s="49"/>
      <c r="C390" s="49"/>
      <c r="D390" s="50"/>
      <c r="E390" s="51"/>
      <c r="F390" s="52"/>
      <c r="G390" s="60"/>
      <c r="H390" s="52"/>
      <c r="I390" s="50"/>
      <c r="J390" s="39"/>
      <c r="K390" s="40"/>
      <c r="L390" s="56"/>
      <c r="M390" s="56"/>
      <c r="N390" s="149"/>
      <c r="O390" s="42"/>
      <c r="Q390" s="25"/>
      <c r="S390" s="25"/>
      <c r="T390" s="25"/>
      <c r="U390" s="25"/>
      <c r="V390" s="25"/>
      <c r="W390" s="25"/>
      <c r="X390" s="25"/>
      <c r="AF390" s="17" t="e">
        <f t="shared" si="43"/>
        <v>#REF!</v>
      </c>
    </row>
    <row r="391" spans="1:32" ht="25.5" customHeight="1" x14ac:dyDescent="0.3">
      <c r="A391" s="59"/>
      <c r="B391" s="49"/>
      <c r="C391" s="49"/>
      <c r="D391" s="50"/>
      <c r="E391" s="51"/>
      <c r="F391" s="52"/>
      <c r="G391" s="60"/>
      <c r="H391" s="52"/>
      <c r="I391" s="50"/>
      <c r="J391" s="37"/>
      <c r="K391" s="40"/>
      <c r="L391" s="56"/>
      <c r="M391" s="56"/>
      <c r="N391" s="149"/>
      <c r="O391" s="42"/>
      <c r="Q391" s="25"/>
      <c r="S391" s="25"/>
      <c r="T391" s="25"/>
      <c r="U391" s="25"/>
      <c r="V391" s="25"/>
      <c r="W391" s="25"/>
      <c r="X391" s="25"/>
      <c r="AF391" s="17" t="e">
        <f t="shared" si="43"/>
        <v>#REF!</v>
      </c>
    </row>
    <row r="392" spans="1:32" ht="25.5" customHeight="1" x14ac:dyDescent="0.3">
      <c r="A392" s="59"/>
      <c r="B392" s="49"/>
      <c r="C392" s="49"/>
      <c r="D392" s="50"/>
      <c r="E392" s="51"/>
      <c r="F392" s="52"/>
      <c r="G392" s="60"/>
      <c r="H392" s="52"/>
      <c r="I392" s="50"/>
      <c r="J392" s="39"/>
      <c r="K392" s="40"/>
      <c r="L392" s="56"/>
      <c r="M392" s="56"/>
      <c r="N392" s="149"/>
      <c r="O392" s="42"/>
      <c r="Q392" s="25"/>
      <c r="S392" s="25"/>
      <c r="T392" s="25"/>
      <c r="U392" s="25"/>
      <c r="V392" s="25"/>
      <c r="W392" s="25"/>
      <c r="X392" s="25"/>
      <c r="AF392" s="17" t="e">
        <f t="shared" si="43"/>
        <v>#REF!</v>
      </c>
    </row>
    <row r="393" spans="1:32" ht="25.5" customHeight="1" x14ac:dyDescent="0.3">
      <c r="A393" s="59"/>
      <c r="B393" s="49"/>
      <c r="C393" s="49"/>
      <c r="D393" s="50"/>
      <c r="E393" s="51"/>
      <c r="F393" s="52"/>
      <c r="G393" s="60"/>
      <c r="H393" s="52"/>
      <c r="I393" s="50"/>
      <c r="J393" s="39"/>
      <c r="K393" s="40"/>
      <c r="L393" s="56"/>
      <c r="M393" s="56"/>
      <c r="N393" s="149"/>
      <c r="O393" s="42"/>
      <c r="Q393" s="25"/>
      <c r="S393" s="25"/>
      <c r="T393" s="25"/>
      <c r="U393" s="25"/>
      <c r="V393" s="25"/>
      <c r="W393" s="25"/>
      <c r="X393" s="25"/>
      <c r="AF393" s="17" t="e">
        <f t="shared" si="43"/>
        <v>#REF!</v>
      </c>
    </row>
    <row r="394" spans="1:32" ht="25.5" customHeight="1" x14ac:dyDescent="0.3">
      <c r="A394" s="59"/>
      <c r="B394" s="49"/>
      <c r="C394" s="49"/>
      <c r="D394" s="50"/>
      <c r="E394" s="51"/>
      <c r="F394" s="52"/>
      <c r="G394" s="60"/>
      <c r="H394" s="52"/>
      <c r="I394" s="50"/>
      <c r="J394" s="39"/>
      <c r="K394" s="40"/>
      <c r="L394" s="56"/>
      <c r="M394" s="56"/>
      <c r="N394" s="149"/>
      <c r="O394" s="42"/>
      <c r="Q394" s="25"/>
      <c r="S394" s="25"/>
      <c r="T394" s="25"/>
      <c r="U394" s="25"/>
      <c r="V394" s="25"/>
      <c r="W394" s="25"/>
      <c r="X394" s="25"/>
      <c r="AF394" s="17" t="e">
        <f t="shared" si="43"/>
        <v>#REF!</v>
      </c>
    </row>
    <row r="395" spans="1:32" ht="25.5" customHeight="1" x14ac:dyDescent="0.3">
      <c r="A395" s="59"/>
      <c r="B395" s="49"/>
      <c r="C395" s="49"/>
      <c r="D395" s="50"/>
      <c r="E395" s="51"/>
      <c r="F395" s="52"/>
      <c r="G395" s="60"/>
      <c r="H395" s="52"/>
      <c r="I395" s="50"/>
      <c r="J395" s="39"/>
      <c r="K395" s="40"/>
      <c r="L395" s="56"/>
      <c r="M395" s="56"/>
      <c r="N395" s="149"/>
      <c r="O395" s="42"/>
      <c r="Q395" s="25"/>
      <c r="S395" s="25"/>
      <c r="T395" s="25"/>
      <c r="U395" s="25"/>
      <c r="V395" s="25"/>
      <c r="W395" s="25"/>
      <c r="X395" s="25"/>
      <c r="AF395" s="17" t="e">
        <f t="shared" si="43"/>
        <v>#REF!</v>
      </c>
    </row>
    <row r="396" spans="1:32" ht="25.5" customHeight="1" x14ac:dyDescent="0.3">
      <c r="A396" s="59"/>
      <c r="B396" s="49"/>
      <c r="C396" s="49"/>
      <c r="D396" s="50"/>
      <c r="E396" s="51"/>
      <c r="F396" s="52"/>
      <c r="G396" s="60"/>
      <c r="H396" s="52"/>
      <c r="I396" s="50"/>
      <c r="J396" s="54"/>
      <c r="K396" s="40"/>
      <c r="L396" s="56"/>
      <c r="M396" s="56"/>
      <c r="N396" s="149"/>
      <c r="O396" s="42"/>
      <c r="Q396" s="25"/>
      <c r="S396" s="25"/>
      <c r="T396" s="25"/>
      <c r="U396" s="25"/>
      <c r="V396" s="25"/>
      <c r="W396" s="25"/>
      <c r="X396" s="25"/>
      <c r="AF396" s="17" t="e">
        <f t="shared" si="43"/>
        <v>#REF!</v>
      </c>
    </row>
    <row r="397" spans="1:32" ht="25.5" customHeight="1" x14ac:dyDescent="0.3">
      <c r="A397" s="59"/>
      <c r="B397" s="49"/>
      <c r="C397" s="49"/>
      <c r="D397" s="50"/>
      <c r="E397" s="51"/>
      <c r="F397" s="52"/>
      <c r="G397" s="60"/>
      <c r="H397" s="52"/>
      <c r="I397" s="50"/>
      <c r="J397" s="118"/>
      <c r="K397" s="40"/>
      <c r="L397" s="56"/>
      <c r="M397" s="56"/>
      <c r="N397" s="149"/>
      <c r="O397" s="42"/>
      <c r="Q397" s="25"/>
      <c r="S397" s="25"/>
      <c r="T397" s="25"/>
      <c r="U397" s="25"/>
      <c r="V397" s="25"/>
      <c r="W397" s="25"/>
      <c r="X397" s="25"/>
      <c r="AF397" s="17" t="e">
        <f t="shared" si="43"/>
        <v>#REF!</v>
      </c>
    </row>
    <row r="398" spans="1:32" ht="25.5" customHeight="1" x14ac:dyDescent="0.3">
      <c r="A398" s="59"/>
      <c r="B398" s="49"/>
      <c r="C398" s="49"/>
      <c r="D398" s="50"/>
      <c r="E398" s="51"/>
      <c r="F398" s="52"/>
      <c r="G398" s="60"/>
      <c r="H398" s="52"/>
      <c r="I398" s="50"/>
      <c r="J398" s="118"/>
      <c r="K398" s="40"/>
      <c r="L398" s="56"/>
      <c r="M398" s="56"/>
      <c r="N398" s="149"/>
      <c r="O398" s="42"/>
      <c r="Q398" s="25"/>
      <c r="S398" s="25"/>
      <c r="T398" s="25"/>
      <c r="U398" s="25"/>
      <c r="V398" s="25"/>
      <c r="W398" s="25"/>
      <c r="X398" s="25"/>
      <c r="AF398" s="17" t="e">
        <f t="shared" si="43"/>
        <v>#REF!</v>
      </c>
    </row>
    <row r="399" spans="1:32" ht="25.5" customHeight="1" x14ac:dyDescent="0.3">
      <c r="A399" s="59"/>
      <c r="B399" s="49"/>
      <c r="C399" s="49"/>
      <c r="D399" s="50"/>
      <c r="E399" s="51"/>
      <c r="F399" s="52"/>
      <c r="G399" s="60"/>
      <c r="H399" s="52"/>
      <c r="I399" s="50"/>
      <c r="J399" s="37"/>
      <c r="K399" s="40"/>
      <c r="L399" s="56"/>
      <c r="M399" s="56"/>
      <c r="N399" s="149"/>
      <c r="O399" s="42"/>
      <c r="Q399" s="25"/>
      <c r="S399" s="25"/>
      <c r="T399" s="25"/>
      <c r="U399" s="25"/>
      <c r="V399" s="25"/>
      <c r="W399" s="25"/>
      <c r="X399" s="25"/>
      <c r="AF399" s="17" t="e">
        <f t="shared" si="43"/>
        <v>#REF!</v>
      </c>
    </row>
    <row r="400" spans="1:32" ht="25.5" customHeight="1" x14ac:dyDescent="0.3">
      <c r="A400" s="59"/>
      <c r="B400" s="49"/>
      <c r="C400" s="49"/>
      <c r="D400" s="50"/>
      <c r="E400" s="51"/>
      <c r="F400" s="52"/>
      <c r="G400" s="60"/>
      <c r="H400" s="52"/>
      <c r="I400" s="50"/>
      <c r="J400" s="39"/>
      <c r="K400" s="40"/>
      <c r="L400" s="56"/>
      <c r="M400" s="56"/>
      <c r="N400" s="149"/>
      <c r="O400" s="42"/>
      <c r="Q400" s="25"/>
      <c r="S400" s="25"/>
      <c r="T400" s="25"/>
      <c r="U400" s="25"/>
      <c r="V400" s="25"/>
      <c r="W400" s="25"/>
      <c r="X400" s="25"/>
      <c r="AF400" s="17" t="e">
        <f t="shared" si="43"/>
        <v>#REF!</v>
      </c>
    </row>
    <row r="401" spans="1:32" ht="25.5" customHeight="1" x14ac:dyDescent="0.3">
      <c r="A401" s="59"/>
      <c r="B401" s="49"/>
      <c r="C401" s="49"/>
      <c r="D401" s="50"/>
      <c r="E401" s="51"/>
      <c r="F401" s="52"/>
      <c r="G401" s="60"/>
      <c r="H401" s="52"/>
      <c r="I401" s="50"/>
      <c r="J401" s="39"/>
      <c r="K401" s="40"/>
      <c r="L401" s="56"/>
      <c r="M401" s="56"/>
      <c r="N401" s="149"/>
      <c r="O401" s="42"/>
      <c r="Q401" s="25"/>
      <c r="S401" s="25"/>
      <c r="T401" s="25"/>
      <c r="U401" s="25"/>
      <c r="V401" s="25"/>
      <c r="W401" s="25"/>
      <c r="X401" s="25"/>
      <c r="AF401" s="17" t="e">
        <f t="shared" si="43"/>
        <v>#REF!</v>
      </c>
    </row>
    <row r="402" spans="1:32" ht="25.5" customHeight="1" x14ac:dyDescent="0.3">
      <c r="A402" s="59"/>
      <c r="B402" s="49"/>
      <c r="C402" s="49"/>
      <c r="D402" s="50"/>
      <c r="E402" s="51"/>
      <c r="F402" s="52"/>
      <c r="G402" s="60"/>
      <c r="H402" s="52"/>
      <c r="I402" s="50"/>
      <c r="J402" s="39"/>
      <c r="K402" s="40"/>
      <c r="L402" s="56"/>
      <c r="M402" s="56"/>
      <c r="N402" s="149"/>
      <c r="O402" s="42"/>
      <c r="Q402" s="25"/>
      <c r="S402" s="25"/>
      <c r="T402" s="25"/>
      <c r="U402" s="25"/>
      <c r="V402" s="25"/>
      <c r="W402" s="25"/>
      <c r="X402" s="25"/>
      <c r="AF402" s="17" t="e">
        <f t="shared" si="43"/>
        <v>#REF!</v>
      </c>
    </row>
    <row r="403" spans="1:32" ht="25.5" customHeight="1" x14ac:dyDescent="0.3">
      <c r="A403" s="59"/>
      <c r="B403" s="49"/>
      <c r="C403" s="49"/>
      <c r="D403" s="50"/>
      <c r="E403" s="51"/>
      <c r="F403" s="52"/>
      <c r="G403" s="60"/>
      <c r="H403" s="52"/>
      <c r="I403" s="50"/>
      <c r="J403" s="39"/>
      <c r="K403" s="40"/>
      <c r="L403" s="56"/>
      <c r="M403" s="56"/>
      <c r="N403" s="149"/>
      <c r="O403" s="42"/>
      <c r="Q403" s="25"/>
      <c r="S403" s="25"/>
      <c r="T403" s="25"/>
      <c r="U403" s="25"/>
      <c r="V403" s="25"/>
      <c r="W403" s="25"/>
      <c r="X403" s="25"/>
      <c r="AF403" s="17" t="e">
        <f t="shared" si="43"/>
        <v>#REF!</v>
      </c>
    </row>
    <row r="404" spans="1:32" ht="25.5" customHeight="1" x14ac:dyDescent="0.3">
      <c r="A404" s="59"/>
      <c r="B404" s="49"/>
      <c r="C404" s="49"/>
      <c r="D404" s="50"/>
      <c r="E404" s="51"/>
      <c r="F404" s="52"/>
      <c r="G404" s="60"/>
      <c r="H404" s="52"/>
      <c r="I404" s="50"/>
      <c r="J404" s="54"/>
      <c r="K404" s="40"/>
      <c r="L404" s="56"/>
      <c r="M404" s="56"/>
      <c r="N404" s="149"/>
      <c r="O404" s="42"/>
      <c r="Q404" s="25"/>
      <c r="S404" s="25"/>
      <c r="T404" s="25"/>
      <c r="U404" s="25"/>
      <c r="V404" s="25"/>
      <c r="W404" s="25"/>
      <c r="X404" s="25"/>
      <c r="AF404" s="17" t="e">
        <f t="shared" si="43"/>
        <v>#REF!</v>
      </c>
    </row>
    <row r="405" spans="1:32" ht="25.5" customHeight="1" x14ac:dyDescent="0.3">
      <c r="A405" s="59"/>
      <c r="B405" s="49"/>
      <c r="C405" s="49"/>
      <c r="D405" s="50"/>
      <c r="E405" s="51"/>
      <c r="F405" s="52"/>
      <c r="G405" s="60"/>
      <c r="H405" s="52"/>
      <c r="I405" s="50"/>
      <c r="J405" s="118"/>
      <c r="K405" s="40"/>
      <c r="L405" s="56"/>
      <c r="M405" s="56"/>
      <c r="N405" s="149"/>
      <c r="O405" s="42"/>
      <c r="Q405" s="25"/>
      <c r="S405" s="25"/>
      <c r="T405" s="25"/>
      <c r="U405" s="25"/>
      <c r="V405" s="25"/>
      <c r="W405" s="25"/>
      <c r="X405" s="25"/>
      <c r="AF405" s="17" t="e">
        <f t="shared" ref="AF405:AF468" si="44">+IF(A405&lt;&gt;0,A405,IF(AND(A405="",AE405=1),"",AF404))</f>
        <v>#REF!</v>
      </c>
    </row>
    <row r="406" spans="1:32" ht="25.5" customHeight="1" x14ac:dyDescent="0.3">
      <c r="A406" s="59"/>
      <c r="B406" s="49"/>
      <c r="C406" s="49"/>
      <c r="D406" s="50"/>
      <c r="E406" s="51"/>
      <c r="F406" s="52"/>
      <c r="G406" s="60"/>
      <c r="H406" s="52"/>
      <c r="I406" s="50"/>
      <c r="J406" s="39"/>
      <c r="K406" s="40"/>
      <c r="L406" s="56"/>
      <c r="M406" s="56"/>
      <c r="N406" s="149"/>
      <c r="O406" s="42"/>
      <c r="Q406" s="25"/>
      <c r="S406" s="25"/>
      <c r="T406" s="25"/>
      <c r="U406" s="25"/>
      <c r="V406" s="25"/>
      <c r="W406" s="25"/>
      <c r="X406" s="25"/>
      <c r="AF406" s="17" t="e">
        <f t="shared" si="44"/>
        <v>#REF!</v>
      </c>
    </row>
    <row r="407" spans="1:32" ht="25.5" customHeight="1" x14ac:dyDescent="0.3">
      <c r="A407" s="59"/>
      <c r="B407" s="49"/>
      <c r="C407" s="49"/>
      <c r="D407" s="50"/>
      <c r="E407" s="51"/>
      <c r="F407" s="52"/>
      <c r="G407" s="60"/>
      <c r="H407" s="52"/>
      <c r="I407" s="50"/>
      <c r="J407" s="37"/>
      <c r="K407" s="40"/>
      <c r="L407" s="56"/>
      <c r="M407" s="56"/>
      <c r="N407" s="149"/>
      <c r="O407" s="42"/>
      <c r="Q407" s="25"/>
      <c r="S407" s="25"/>
      <c r="T407" s="25"/>
      <c r="U407" s="25"/>
      <c r="V407" s="25"/>
      <c r="W407" s="25"/>
      <c r="X407" s="25"/>
      <c r="AF407" s="17" t="e">
        <f t="shared" si="44"/>
        <v>#REF!</v>
      </c>
    </row>
    <row r="408" spans="1:32" ht="25.5" customHeight="1" x14ac:dyDescent="0.3">
      <c r="A408" s="59"/>
      <c r="B408" s="49"/>
      <c r="C408" s="49"/>
      <c r="D408" s="50"/>
      <c r="E408" s="51"/>
      <c r="F408" s="52"/>
      <c r="G408" s="60"/>
      <c r="H408" s="52"/>
      <c r="I408" s="50"/>
      <c r="J408" s="39"/>
      <c r="K408" s="40"/>
      <c r="L408" s="56"/>
      <c r="M408" s="56"/>
      <c r="N408" s="149"/>
      <c r="O408" s="42"/>
      <c r="Q408" s="25"/>
      <c r="S408" s="25"/>
      <c r="T408" s="25"/>
      <c r="U408" s="25"/>
      <c r="V408" s="25"/>
      <c r="W408" s="25"/>
      <c r="X408" s="25"/>
      <c r="AF408" s="17" t="e">
        <f t="shared" si="44"/>
        <v>#REF!</v>
      </c>
    </row>
    <row r="409" spans="1:32" ht="25.5" customHeight="1" x14ac:dyDescent="0.3">
      <c r="A409" s="59"/>
      <c r="B409" s="49"/>
      <c r="C409" s="49"/>
      <c r="D409" s="50"/>
      <c r="E409" s="51"/>
      <c r="F409" s="52"/>
      <c r="G409" s="60"/>
      <c r="H409" s="52"/>
      <c r="I409" s="50"/>
      <c r="J409" s="39"/>
      <c r="K409" s="40"/>
      <c r="L409" s="56"/>
      <c r="M409" s="56"/>
      <c r="N409" s="149"/>
      <c r="O409" s="42"/>
      <c r="Q409" s="25"/>
      <c r="S409" s="25"/>
      <c r="T409" s="25"/>
      <c r="U409" s="25"/>
      <c r="V409" s="25"/>
      <c r="W409" s="25"/>
      <c r="X409" s="25"/>
      <c r="AF409" s="17" t="e">
        <f t="shared" si="44"/>
        <v>#REF!</v>
      </c>
    </row>
    <row r="410" spans="1:32" ht="25.5" customHeight="1" x14ac:dyDescent="0.3">
      <c r="A410" s="59"/>
      <c r="B410" s="49"/>
      <c r="C410" s="49"/>
      <c r="D410" s="50"/>
      <c r="E410" s="51"/>
      <c r="F410" s="52"/>
      <c r="G410" s="60"/>
      <c r="H410" s="52"/>
      <c r="I410" s="50"/>
      <c r="J410" s="39"/>
      <c r="K410" s="40"/>
      <c r="L410" s="56"/>
      <c r="M410" s="56"/>
      <c r="N410" s="149"/>
      <c r="O410" s="42"/>
      <c r="Q410" s="25"/>
      <c r="S410" s="25"/>
      <c r="T410" s="25"/>
      <c r="U410" s="25"/>
      <c r="V410" s="25"/>
      <c r="W410" s="25"/>
      <c r="X410" s="25"/>
      <c r="AF410" s="17" t="e">
        <f t="shared" si="44"/>
        <v>#REF!</v>
      </c>
    </row>
    <row r="411" spans="1:32" ht="25.5" customHeight="1" x14ac:dyDescent="0.3">
      <c r="A411" s="59"/>
      <c r="B411" s="49"/>
      <c r="C411" s="49"/>
      <c r="D411" s="50"/>
      <c r="E411" s="51"/>
      <c r="F411" s="52"/>
      <c r="G411" s="60"/>
      <c r="H411" s="52"/>
      <c r="I411" s="50"/>
      <c r="J411" s="39"/>
      <c r="K411" s="40"/>
      <c r="L411" s="56"/>
      <c r="M411" s="56"/>
      <c r="N411" s="149"/>
      <c r="O411" s="42"/>
      <c r="Q411" s="25"/>
      <c r="S411" s="25"/>
      <c r="T411" s="25"/>
      <c r="U411" s="25"/>
      <c r="V411" s="25"/>
      <c r="W411" s="25"/>
      <c r="X411" s="25"/>
      <c r="AF411" s="17" t="e">
        <f t="shared" si="44"/>
        <v>#REF!</v>
      </c>
    </row>
    <row r="412" spans="1:32" ht="25.5" customHeight="1" x14ac:dyDescent="0.3">
      <c r="A412" s="59"/>
      <c r="B412" s="49"/>
      <c r="C412" s="49"/>
      <c r="D412" s="50"/>
      <c r="E412" s="51"/>
      <c r="F412" s="52"/>
      <c r="G412" s="60"/>
      <c r="H412" s="52"/>
      <c r="I412" s="50"/>
      <c r="J412" s="54"/>
      <c r="K412" s="40"/>
      <c r="L412" s="56"/>
      <c r="M412" s="56"/>
      <c r="N412" s="149"/>
      <c r="O412" s="42"/>
      <c r="Q412" s="25"/>
      <c r="S412" s="25"/>
      <c r="T412" s="25"/>
      <c r="U412" s="25"/>
      <c r="V412" s="25"/>
      <c r="W412" s="25"/>
      <c r="X412" s="25"/>
      <c r="AF412" s="17" t="e">
        <f t="shared" si="44"/>
        <v>#REF!</v>
      </c>
    </row>
    <row r="413" spans="1:32" ht="25.5" customHeight="1" x14ac:dyDescent="0.3">
      <c r="A413" s="59"/>
      <c r="B413" s="49"/>
      <c r="C413" s="49"/>
      <c r="D413" s="50"/>
      <c r="E413" s="51"/>
      <c r="F413" s="52"/>
      <c r="G413" s="60"/>
      <c r="H413" s="52"/>
      <c r="I413" s="50"/>
      <c r="J413" s="39"/>
      <c r="K413" s="40"/>
      <c r="L413" s="56"/>
      <c r="M413" s="56"/>
      <c r="N413" s="149"/>
      <c r="O413" s="42"/>
      <c r="Q413" s="25"/>
      <c r="S413" s="25"/>
      <c r="T413" s="25"/>
      <c r="U413" s="25"/>
      <c r="V413" s="25"/>
      <c r="W413" s="25"/>
      <c r="X413" s="25"/>
      <c r="AF413" s="17" t="e">
        <f t="shared" si="44"/>
        <v>#REF!</v>
      </c>
    </row>
    <row r="414" spans="1:32" ht="25.5" customHeight="1" x14ac:dyDescent="0.3">
      <c r="A414" s="59"/>
      <c r="B414" s="49"/>
      <c r="C414" s="49"/>
      <c r="D414" s="50"/>
      <c r="E414" s="51"/>
      <c r="F414" s="52"/>
      <c r="G414" s="60"/>
      <c r="H414" s="52"/>
      <c r="I414" s="50"/>
      <c r="J414" s="39"/>
      <c r="K414" s="40"/>
      <c r="L414" s="56"/>
      <c r="M414" s="56"/>
      <c r="N414" s="149"/>
      <c r="O414" s="42"/>
      <c r="Q414" s="25"/>
      <c r="S414" s="25"/>
      <c r="T414" s="25"/>
      <c r="U414" s="25"/>
      <c r="V414" s="25"/>
      <c r="W414" s="25"/>
      <c r="X414" s="25"/>
      <c r="AF414" s="17" t="e">
        <f t="shared" si="44"/>
        <v>#REF!</v>
      </c>
    </row>
    <row r="415" spans="1:32" ht="25.5" customHeight="1" x14ac:dyDescent="0.3">
      <c r="A415" s="59"/>
      <c r="B415" s="49"/>
      <c r="C415" s="49"/>
      <c r="D415" s="50"/>
      <c r="E415" s="51"/>
      <c r="F415" s="52"/>
      <c r="G415" s="60"/>
      <c r="H415" s="52"/>
      <c r="I415" s="50"/>
      <c r="J415" s="37"/>
      <c r="K415" s="40"/>
      <c r="L415" s="56"/>
      <c r="M415" s="56"/>
      <c r="N415" s="149"/>
      <c r="O415" s="42"/>
      <c r="Q415" s="25"/>
      <c r="S415" s="25"/>
      <c r="T415" s="25"/>
      <c r="U415" s="25"/>
      <c r="V415" s="25"/>
      <c r="W415" s="25"/>
      <c r="X415" s="25"/>
      <c r="AF415" s="17" t="e">
        <f t="shared" si="44"/>
        <v>#REF!</v>
      </c>
    </row>
    <row r="416" spans="1:32" ht="25.5" customHeight="1" x14ac:dyDescent="0.3">
      <c r="A416" s="59"/>
      <c r="B416" s="49"/>
      <c r="C416" s="49"/>
      <c r="D416" s="50"/>
      <c r="E416" s="51"/>
      <c r="F416" s="52"/>
      <c r="G416" s="60"/>
      <c r="H416" s="52"/>
      <c r="I416" s="50"/>
      <c r="J416" s="39"/>
      <c r="K416" s="40"/>
      <c r="L416" s="56"/>
      <c r="M416" s="56"/>
      <c r="N416" s="149"/>
      <c r="O416" s="42"/>
      <c r="Q416" s="25"/>
      <c r="S416" s="25"/>
      <c r="T416" s="25"/>
      <c r="U416" s="25"/>
      <c r="V416" s="25"/>
      <c r="W416" s="25"/>
      <c r="X416" s="25"/>
      <c r="AF416" s="17" t="e">
        <f t="shared" si="44"/>
        <v>#REF!</v>
      </c>
    </row>
    <row r="417" spans="1:32" ht="25.5" customHeight="1" x14ac:dyDescent="0.3">
      <c r="A417" s="59"/>
      <c r="B417" s="49"/>
      <c r="C417" s="49"/>
      <c r="D417" s="50"/>
      <c r="E417" s="51"/>
      <c r="F417" s="52"/>
      <c r="G417" s="60"/>
      <c r="H417" s="52"/>
      <c r="I417" s="50"/>
      <c r="J417" s="39"/>
      <c r="K417" s="40"/>
      <c r="L417" s="56"/>
      <c r="M417" s="56"/>
      <c r="N417" s="149"/>
      <c r="O417" s="42"/>
      <c r="Q417" s="25"/>
      <c r="S417" s="25"/>
      <c r="T417" s="25"/>
      <c r="U417" s="25"/>
      <c r="V417" s="25"/>
      <c r="W417" s="25"/>
      <c r="X417" s="25"/>
      <c r="AF417" s="17" t="e">
        <f t="shared" si="44"/>
        <v>#REF!</v>
      </c>
    </row>
    <row r="418" spans="1:32" ht="25.5" customHeight="1" x14ac:dyDescent="0.3">
      <c r="A418" s="59"/>
      <c r="B418" s="49"/>
      <c r="C418" s="49"/>
      <c r="D418" s="50"/>
      <c r="E418" s="51"/>
      <c r="F418" s="52"/>
      <c r="G418" s="60"/>
      <c r="H418" s="52"/>
      <c r="I418" s="50"/>
      <c r="J418" s="39"/>
      <c r="K418" s="40"/>
      <c r="L418" s="56"/>
      <c r="M418" s="56"/>
      <c r="N418" s="149"/>
      <c r="O418" s="42"/>
      <c r="Q418" s="25"/>
      <c r="S418" s="25"/>
      <c r="T418" s="25"/>
      <c r="U418" s="25"/>
      <c r="V418" s="25"/>
      <c r="W418" s="25"/>
      <c r="X418" s="25"/>
      <c r="AF418" s="17" t="e">
        <f t="shared" si="44"/>
        <v>#REF!</v>
      </c>
    </row>
    <row r="419" spans="1:32" ht="25.5" customHeight="1" x14ac:dyDescent="0.3">
      <c r="A419" s="59"/>
      <c r="B419" s="49"/>
      <c r="C419" s="49"/>
      <c r="D419" s="50"/>
      <c r="E419" s="51"/>
      <c r="F419" s="52"/>
      <c r="G419" s="60"/>
      <c r="H419" s="52"/>
      <c r="I419" s="50"/>
      <c r="J419" s="39"/>
      <c r="K419" s="40"/>
      <c r="L419" s="56"/>
      <c r="M419" s="56"/>
      <c r="N419" s="149"/>
      <c r="O419" s="42"/>
      <c r="Q419" s="25"/>
      <c r="S419" s="25"/>
      <c r="T419" s="25"/>
      <c r="U419" s="25"/>
      <c r="V419" s="25"/>
      <c r="W419" s="25"/>
      <c r="X419" s="25"/>
      <c r="AF419" s="17" t="e">
        <f t="shared" si="44"/>
        <v>#REF!</v>
      </c>
    </row>
    <row r="420" spans="1:32" ht="25.5" customHeight="1" x14ac:dyDescent="0.3">
      <c r="A420" s="59"/>
      <c r="B420" s="49"/>
      <c r="C420" s="49"/>
      <c r="D420" s="50"/>
      <c r="E420" s="51"/>
      <c r="F420" s="52"/>
      <c r="G420" s="60"/>
      <c r="H420" s="52"/>
      <c r="I420" s="50"/>
      <c r="J420" s="150"/>
      <c r="K420" s="40"/>
      <c r="L420" s="56"/>
      <c r="M420" s="56"/>
      <c r="N420" s="149"/>
      <c r="O420" s="42"/>
      <c r="Q420" s="25"/>
      <c r="S420" s="25"/>
      <c r="T420" s="25"/>
      <c r="U420" s="25"/>
      <c r="V420" s="25"/>
      <c r="W420" s="25"/>
      <c r="X420" s="25"/>
      <c r="AF420" s="17" t="e">
        <f t="shared" si="44"/>
        <v>#REF!</v>
      </c>
    </row>
    <row r="421" spans="1:32" ht="25.5" customHeight="1" x14ac:dyDescent="0.3">
      <c r="A421" s="59"/>
      <c r="B421" s="49"/>
      <c r="C421" s="49"/>
      <c r="D421" s="50"/>
      <c r="E421" s="51"/>
      <c r="F421" s="52"/>
      <c r="G421" s="60"/>
      <c r="H421" s="52"/>
      <c r="I421" s="50"/>
      <c r="J421" s="37"/>
      <c r="K421" s="40"/>
      <c r="L421" s="56"/>
      <c r="M421" s="56"/>
      <c r="N421" s="149"/>
      <c r="O421" s="42"/>
      <c r="Q421" s="25"/>
      <c r="S421" s="25"/>
      <c r="T421" s="25"/>
      <c r="U421" s="25"/>
      <c r="V421" s="25"/>
      <c r="W421" s="25"/>
      <c r="X421" s="25"/>
      <c r="AF421" s="17" t="e">
        <f t="shared" si="44"/>
        <v>#REF!</v>
      </c>
    </row>
    <row r="422" spans="1:32" ht="25.5" customHeight="1" x14ac:dyDescent="0.3">
      <c r="A422" s="59"/>
      <c r="B422" s="49"/>
      <c r="C422" s="49"/>
      <c r="D422" s="50"/>
      <c r="E422" s="51"/>
      <c r="F422" s="52"/>
      <c r="G422" s="60"/>
      <c r="H422" s="52"/>
      <c r="I422" s="50"/>
      <c r="J422" s="39"/>
      <c r="K422" s="40"/>
      <c r="L422" s="56"/>
      <c r="M422" s="56"/>
      <c r="N422" s="149"/>
      <c r="O422" s="42"/>
      <c r="Q422" s="25"/>
      <c r="S422" s="25"/>
      <c r="T422" s="25"/>
      <c r="U422" s="25"/>
      <c r="V422" s="25"/>
      <c r="W422" s="25"/>
      <c r="X422" s="25"/>
      <c r="AF422" s="17" t="e">
        <f t="shared" si="44"/>
        <v>#REF!</v>
      </c>
    </row>
    <row r="423" spans="1:32" ht="25.5" customHeight="1" x14ac:dyDescent="0.3">
      <c r="A423" s="59"/>
      <c r="B423" s="49"/>
      <c r="C423" s="49"/>
      <c r="D423" s="50"/>
      <c r="E423" s="51"/>
      <c r="F423" s="52"/>
      <c r="G423" s="60"/>
      <c r="H423" s="52"/>
      <c r="I423" s="50"/>
      <c r="J423" s="39"/>
      <c r="K423" s="40"/>
      <c r="L423" s="56"/>
      <c r="M423" s="56"/>
      <c r="N423" s="149"/>
      <c r="O423" s="42"/>
      <c r="Q423" s="25"/>
      <c r="S423" s="25"/>
      <c r="T423" s="25"/>
      <c r="U423" s="25"/>
      <c r="V423" s="25"/>
      <c r="W423" s="25"/>
      <c r="X423" s="25"/>
      <c r="AF423" s="17" t="e">
        <f t="shared" si="44"/>
        <v>#REF!</v>
      </c>
    </row>
    <row r="424" spans="1:32" ht="25.5" customHeight="1" x14ac:dyDescent="0.3">
      <c r="A424" s="59"/>
      <c r="B424" s="49"/>
      <c r="C424" s="49"/>
      <c r="D424" s="50"/>
      <c r="E424" s="51"/>
      <c r="F424" s="52"/>
      <c r="G424" s="60"/>
      <c r="H424" s="52"/>
      <c r="I424" s="50"/>
      <c r="J424" s="39"/>
      <c r="K424" s="40"/>
      <c r="L424" s="56"/>
      <c r="M424" s="56"/>
      <c r="N424" s="149"/>
      <c r="O424" s="42"/>
      <c r="Q424" s="25"/>
      <c r="S424" s="25"/>
      <c r="T424" s="25"/>
      <c r="U424" s="25"/>
      <c r="V424" s="25"/>
      <c r="W424" s="25"/>
      <c r="X424" s="25"/>
      <c r="AF424" s="17" t="e">
        <f t="shared" si="44"/>
        <v>#REF!</v>
      </c>
    </row>
    <row r="425" spans="1:32" ht="25.5" customHeight="1" x14ac:dyDescent="0.3">
      <c r="A425" s="59"/>
      <c r="B425" s="49"/>
      <c r="C425" s="49"/>
      <c r="D425" s="50"/>
      <c r="E425" s="51"/>
      <c r="F425" s="52"/>
      <c r="G425" s="60"/>
      <c r="H425" s="52"/>
      <c r="I425" s="50"/>
      <c r="J425" s="39"/>
      <c r="K425" s="40"/>
      <c r="L425" s="56"/>
      <c r="M425" s="56"/>
      <c r="N425" s="149"/>
      <c r="O425" s="42"/>
      <c r="Q425" s="25"/>
      <c r="S425" s="25"/>
      <c r="T425" s="25"/>
      <c r="U425" s="25"/>
      <c r="V425" s="25"/>
      <c r="W425" s="25"/>
      <c r="X425" s="25"/>
      <c r="AF425" s="17" t="e">
        <f t="shared" si="44"/>
        <v>#REF!</v>
      </c>
    </row>
    <row r="426" spans="1:32" ht="25.5" customHeight="1" x14ac:dyDescent="0.3">
      <c r="A426" s="59"/>
      <c r="B426" s="49"/>
      <c r="C426" s="49"/>
      <c r="D426" s="50"/>
      <c r="E426" s="51"/>
      <c r="F426" s="52"/>
      <c r="G426" s="60"/>
      <c r="H426" s="52"/>
      <c r="I426" s="50"/>
      <c r="J426" s="39"/>
      <c r="K426" s="40"/>
      <c r="L426" s="56"/>
      <c r="M426" s="56"/>
      <c r="N426" s="149"/>
      <c r="O426" s="42"/>
      <c r="Q426" s="25"/>
      <c r="S426" s="25"/>
      <c r="T426" s="25"/>
      <c r="U426" s="25"/>
      <c r="V426" s="25"/>
      <c r="W426" s="25"/>
      <c r="X426" s="25"/>
      <c r="AF426" s="17" t="e">
        <f t="shared" si="44"/>
        <v>#REF!</v>
      </c>
    </row>
    <row r="427" spans="1:32" ht="25.5" customHeight="1" x14ac:dyDescent="0.3">
      <c r="A427" s="59"/>
      <c r="B427" s="49"/>
      <c r="C427" s="49"/>
      <c r="D427" s="50"/>
      <c r="E427" s="51"/>
      <c r="F427" s="52"/>
      <c r="G427" s="60"/>
      <c r="H427" s="52"/>
      <c r="I427" s="50"/>
      <c r="J427" s="39"/>
      <c r="K427" s="40"/>
      <c r="L427" s="56"/>
      <c r="M427" s="56"/>
      <c r="N427" s="149"/>
      <c r="O427" s="42"/>
      <c r="Q427" s="25"/>
      <c r="S427" s="25"/>
      <c r="T427" s="25"/>
      <c r="U427" s="25"/>
      <c r="V427" s="25"/>
      <c r="W427" s="25"/>
      <c r="X427" s="25"/>
      <c r="AF427" s="17" t="e">
        <f t="shared" si="44"/>
        <v>#REF!</v>
      </c>
    </row>
    <row r="428" spans="1:32" ht="25.5" customHeight="1" x14ac:dyDescent="0.3">
      <c r="A428" s="59"/>
      <c r="B428" s="49"/>
      <c r="C428" s="49"/>
      <c r="D428" s="50"/>
      <c r="E428" s="51"/>
      <c r="F428" s="52"/>
      <c r="G428" s="60"/>
      <c r="H428" s="52"/>
      <c r="I428" s="50"/>
      <c r="J428" s="54"/>
      <c r="K428" s="40"/>
      <c r="L428" s="56"/>
      <c r="M428" s="56"/>
      <c r="N428" s="149"/>
      <c r="O428" s="42"/>
      <c r="Q428" s="25"/>
      <c r="S428" s="25"/>
      <c r="T428" s="25"/>
      <c r="U428" s="25"/>
      <c r="V428" s="25"/>
      <c r="W428" s="25"/>
      <c r="X428" s="25"/>
      <c r="AF428" s="17" t="e">
        <f t="shared" si="44"/>
        <v>#REF!</v>
      </c>
    </row>
    <row r="429" spans="1:32" ht="25.5" customHeight="1" x14ac:dyDescent="0.3">
      <c r="A429" s="59"/>
      <c r="B429" s="49"/>
      <c r="C429" s="49"/>
      <c r="D429" s="50"/>
      <c r="E429" s="51"/>
      <c r="F429" s="52"/>
      <c r="G429" s="60"/>
      <c r="H429" s="52"/>
      <c r="I429" s="50"/>
      <c r="J429" s="150"/>
      <c r="K429" s="40"/>
      <c r="L429" s="56"/>
      <c r="M429" s="56"/>
      <c r="N429" s="149"/>
      <c r="O429" s="42"/>
      <c r="Q429" s="25"/>
      <c r="S429" s="25"/>
      <c r="T429" s="25"/>
      <c r="U429" s="25"/>
      <c r="V429" s="25"/>
      <c r="W429" s="25"/>
      <c r="X429" s="25"/>
      <c r="AF429" s="17" t="e">
        <f t="shared" si="44"/>
        <v>#REF!</v>
      </c>
    </row>
    <row r="430" spans="1:32" ht="25.5" customHeight="1" x14ac:dyDescent="0.3">
      <c r="A430" s="59"/>
      <c r="B430" s="49"/>
      <c r="C430" s="49"/>
      <c r="D430" s="50"/>
      <c r="E430" s="51"/>
      <c r="F430" s="52"/>
      <c r="G430" s="60"/>
      <c r="H430" s="52"/>
      <c r="I430" s="50"/>
      <c r="J430" s="37"/>
      <c r="K430" s="40"/>
      <c r="L430" s="56"/>
      <c r="M430" s="56"/>
      <c r="N430" s="149"/>
      <c r="O430" s="42"/>
      <c r="Q430" s="25"/>
      <c r="S430" s="25"/>
      <c r="T430" s="25"/>
      <c r="U430" s="25"/>
      <c r="V430" s="25"/>
      <c r="W430" s="25"/>
      <c r="X430" s="25"/>
      <c r="AF430" s="17" t="e">
        <f t="shared" si="44"/>
        <v>#REF!</v>
      </c>
    </row>
    <row r="431" spans="1:32" ht="25.5" customHeight="1" x14ac:dyDescent="0.3">
      <c r="A431" s="59"/>
      <c r="B431" s="49"/>
      <c r="C431" s="49"/>
      <c r="D431" s="50"/>
      <c r="E431" s="51"/>
      <c r="F431" s="52"/>
      <c r="G431" s="60"/>
      <c r="H431" s="52"/>
      <c r="I431" s="50"/>
      <c r="J431" s="39"/>
      <c r="K431" s="40"/>
      <c r="L431" s="56"/>
      <c r="M431" s="56"/>
      <c r="N431" s="149"/>
      <c r="O431" s="42"/>
      <c r="Q431" s="25"/>
      <c r="S431" s="25"/>
      <c r="T431" s="25"/>
      <c r="U431" s="25"/>
      <c r="V431" s="25"/>
      <c r="W431" s="25"/>
      <c r="X431" s="25"/>
      <c r="AF431" s="17" t="e">
        <f t="shared" si="44"/>
        <v>#REF!</v>
      </c>
    </row>
    <row r="432" spans="1:32" ht="25.5" customHeight="1" x14ac:dyDescent="0.3">
      <c r="A432" s="59"/>
      <c r="B432" s="49"/>
      <c r="C432" s="49"/>
      <c r="D432" s="50"/>
      <c r="E432" s="51"/>
      <c r="F432" s="52"/>
      <c r="G432" s="60"/>
      <c r="H432" s="52"/>
      <c r="I432" s="50"/>
      <c r="J432" s="39"/>
      <c r="K432" s="40"/>
      <c r="L432" s="56"/>
      <c r="M432" s="56"/>
      <c r="N432" s="149"/>
      <c r="O432" s="42"/>
      <c r="Q432" s="25"/>
      <c r="S432" s="25"/>
      <c r="T432" s="25"/>
      <c r="U432" s="25"/>
      <c r="V432" s="25"/>
      <c r="W432" s="25"/>
      <c r="X432" s="25"/>
      <c r="AF432" s="17" t="e">
        <f t="shared" si="44"/>
        <v>#REF!</v>
      </c>
    </row>
    <row r="433" spans="1:32" ht="25.5" customHeight="1" x14ac:dyDescent="0.3">
      <c r="A433" s="59"/>
      <c r="B433" s="49"/>
      <c r="C433" s="49"/>
      <c r="D433" s="50"/>
      <c r="E433" s="51"/>
      <c r="F433" s="52"/>
      <c r="G433" s="60"/>
      <c r="H433" s="52"/>
      <c r="I433" s="50"/>
      <c r="J433" s="39"/>
      <c r="K433" s="40"/>
      <c r="L433" s="56"/>
      <c r="M433" s="56"/>
      <c r="N433" s="149"/>
      <c r="O433" s="42"/>
      <c r="Q433" s="25"/>
      <c r="S433" s="25"/>
      <c r="T433" s="25"/>
      <c r="U433" s="25"/>
      <c r="V433" s="25"/>
      <c r="W433" s="25"/>
      <c r="X433" s="25"/>
      <c r="AF433" s="17" t="e">
        <f t="shared" si="44"/>
        <v>#REF!</v>
      </c>
    </row>
    <row r="434" spans="1:32" ht="25.5" customHeight="1" x14ac:dyDescent="0.3">
      <c r="A434" s="59"/>
      <c r="B434" s="49"/>
      <c r="C434" s="49"/>
      <c r="D434" s="50"/>
      <c r="E434" s="51"/>
      <c r="F434" s="52"/>
      <c r="G434" s="60"/>
      <c r="H434" s="52"/>
      <c r="I434" s="50"/>
      <c r="J434" s="39"/>
      <c r="K434" s="40"/>
      <c r="L434" s="56"/>
      <c r="M434" s="56"/>
      <c r="N434" s="149"/>
      <c r="O434" s="42"/>
      <c r="Q434" s="25"/>
      <c r="S434" s="25"/>
      <c r="T434" s="25"/>
      <c r="U434" s="25"/>
      <c r="V434" s="25"/>
      <c r="W434" s="25"/>
      <c r="X434" s="25"/>
      <c r="AF434" s="17" t="e">
        <f t="shared" si="44"/>
        <v>#REF!</v>
      </c>
    </row>
    <row r="435" spans="1:32" ht="25.5" customHeight="1" x14ac:dyDescent="0.3">
      <c r="A435" s="59"/>
      <c r="B435" s="49"/>
      <c r="C435" s="49"/>
      <c r="D435" s="50"/>
      <c r="E435" s="51"/>
      <c r="F435" s="52"/>
      <c r="G435" s="60"/>
      <c r="H435" s="52"/>
      <c r="I435" s="50"/>
      <c r="J435" s="39"/>
      <c r="K435" s="40"/>
      <c r="L435" s="56"/>
      <c r="M435" s="56"/>
      <c r="N435" s="149"/>
      <c r="O435" s="42"/>
      <c r="Q435" s="25"/>
      <c r="S435" s="25"/>
      <c r="T435" s="25"/>
      <c r="U435" s="25"/>
      <c r="V435" s="25"/>
      <c r="W435" s="25"/>
      <c r="X435" s="25"/>
      <c r="AF435" s="17" t="e">
        <f t="shared" si="44"/>
        <v>#REF!</v>
      </c>
    </row>
    <row r="436" spans="1:32" ht="25.5" customHeight="1" x14ac:dyDescent="0.3">
      <c r="A436" s="59"/>
      <c r="B436" s="49"/>
      <c r="C436" s="49"/>
      <c r="D436" s="50"/>
      <c r="E436" s="51"/>
      <c r="F436" s="52"/>
      <c r="G436" s="60"/>
      <c r="H436" s="52"/>
      <c r="I436" s="50"/>
      <c r="J436" s="39"/>
      <c r="K436" s="40"/>
      <c r="L436" s="56"/>
      <c r="M436" s="56"/>
      <c r="N436" s="149"/>
      <c r="O436" s="42"/>
      <c r="Q436" s="25"/>
      <c r="S436" s="25"/>
      <c r="T436" s="25"/>
      <c r="U436" s="25"/>
      <c r="V436" s="25"/>
      <c r="W436" s="25"/>
      <c r="X436" s="25"/>
      <c r="AF436" s="17" t="e">
        <f t="shared" si="44"/>
        <v>#REF!</v>
      </c>
    </row>
    <row r="437" spans="1:32" ht="25.5" customHeight="1" x14ac:dyDescent="0.3">
      <c r="A437" s="59"/>
      <c r="B437" s="49"/>
      <c r="C437" s="49"/>
      <c r="D437" s="50"/>
      <c r="E437" s="51"/>
      <c r="F437" s="52"/>
      <c r="G437" s="60"/>
      <c r="H437" s="52"/>
      <c r="I437" s="50"/>
      <c r="J437" s="151"/>
      <c r="K437" s="40"/>
      <c r="L437" s="56"/>
      <c r="M437" s="56"/>
      <c r="N437" s="149"/>
      <c r="O437" s="42"/>
      <c r="Q437" s="25"/>
      <c r="S437" s="25"/>
      <c r="T437" s="25"/>
      <c r="U437" s="25"/>
      <c r="V437" s="25"/>
      <c r="W437" s="25"/>
      <c r="X437" s="25"/>
      <c r="AF437" s="17" t="e">
        <f t="shared" si="44"/>
        <v>#REF!</v>
      </c>
    </row>
    <row r="438" spans="1:32" ht="25.5" customHeight="1" x14ac:dyDescent="0.3">
      <c r="A438" s="59"/>
      <c r="B438" s="49"/>
      <c r="C438" s="49"/>
      <c r="D438" s="50"/>
      <c r="E438" s="51"/>
      <c r="F438" s="52"/>
      <c r="G438" s="60"/>
      <c r="H438" s="52"/>
      <c r="I438" s="50"/>
      <c r="J438" s="152"/>
      <c r="K438" s="40"/>
      <c r="L438" s="56"/>
      <c r="M438" s="56"/>
      <c r="N438" s="149"/>
      <c r="O438" s="42"/>
      <c r="Q438" s="25"/>
      <c r="S438" s="25"/>
      <c r="T438" s="25"/>
      <c r="U438" s="25"/>
      <c r="V438" s="25"/>
      <c r="W438" s="25"/>
      <c r="X438" s="25"/>
      <c r="AF438" s="17" t="e">
        <f t="shared" si="44"/>
        <v>#REF!</v>
      </c>
    </row>
    <row r="439" spans="1:32" ht="25.5" customHeight="1" x14ac:dyDescent="0.3">
      <c r="A439" s="59"/>
      <c r="B439" s="49"/>
      <c r="C439" s="49"/>
      <c r="D439" s="50"/>
      <c r="E439" s="51"/>
      <c r="F439" s="52"/>
      <c r="G439" s="60"/>
      <c r="H439" s="52"/>
      <c r="I439" s="50"/>
      <c r="J439" s="39"/>
      <c r="K439" s="40"/>
      <c r="L439" s="56"/>
      <c r="M439" s="56"/>
      <c r="N439" s="149"/>
      <c r="O439" s="42"/>
      <c r="Q439" s="25"/>
      <c r="S439" s="25"/>
      <c r="T439" s="25"/>
      <c r="U439" s="25"/>
      <c r="V439" s="25"/>
      <c r="W439" s="25"/>
      <c r="X439" s="25"/>
      <c r="AF439" s="17" t="e">
        <f t="shared" si="44"/>
        <v>#REF!</v>
      </c>
    </row>
    <row r="440" spans="1:32" ht="25.5" customHeight="1" x14ac:dyDescent="0.3">
      <c r="A440" s="59"/>
      <c r="B440" s="49"/>
      <c r="C440" s="49"/>
      <c r="D440" s="50"/>
      <c r="E440" s="51"/>
      <c r="F440" s="52"/>
      <c r="G440" s="60"/>
      <c r="H440" s="52"/>
      <c r="I440" s="50"/>
      <c r="J440" s="152"/>
      <c r="K440" s="40"/>
      <c r="L440" s="56"/>
      <c r="M440" s="56"/>
      <c r="N440" s="149"/>
      <c r="O440" s="42"/>
      <c r="Q440" s="25"/>
      <c r="S440" s="25"/>
      <c r="T440" s="25"/>
      <c r="U440" s="25"/>
      <c r="V440" s="25"/>
      <c r="W440" s="25"/>
      <c r="X440" s="25"/>
      <c r="AF440" s="17" t="e">
        <f t="shared" si="44"/>
        <v>#REF!</v>
      </c>
    </row>
    <row r="441" spans="1:32" ht="25.5" customHeight="1" x14ac:dyDescent="0.3">
      <c r="A441" s="59"/>
      <c r="B441" s="49"/>
      <c r="C441" s="49"/>
      <c r="D441" s="50"/>
      <c r="E441" s="51"/>
      <c r="F441" s="52"/>
      <c r="G441" s="60"/>
      <c r="H441" s="52"/>
      <c r="I441" s="50"/>
      <c r="J441" s="39"/>
      <c r="K441" s="40"/>
      <c r="L441" s="56"/>
      <c r="M441" s="56"/>
      <c r="N441" s="149"/>
      <c r="O441" s="42"/>
      <c r="Q441" s="25"/>
      <c r="S441" s="25"/>
      <c r="T441" s="25"/>
      <c r="U441" s="25"/>
      <c r="V441" s="25"/>
      <c r="W441" s="25"/>
      <c r="X441" s="25"/>
      <c r="AF441" s="17" t="e">
        <f t="shared" si="44"/>
        <v>#REF!</v>
      </c>
    </row>
    <row r="442" spans="1:32" ht="25.5" customHeight="1" x14ac:dyDescent="0.3">
      <c r="A442" s="59"/>
      <c r="B442" s="49"/>
      <c r="C442" s="49"/>
      <c r="D442" s="50"/>
      <c r="E442" s="51"/>
      <c r="F442" s="52"/>
      <c r="G442" s="60"/>
      <c r="H442" s="52"/>
      <c r="I442" s="50"/>
      <c r="J442" s="37"/>
      <c r="K442" s="40"/>
      <c r="L442" s="56"/>
      <c r="M442" s="56"/>
      <c r="N442" s="149"/>
      <c r="O442" s="42"/>
      <c r="Q442" s="25"/>
      <c r="S442" s="25"/>
      <c r="T442" s="25"/>
      <c r="U442" s="25"/>
      <c r="V442" s="25"/>
      <c r="W442" s="25"/>
      <c r="X442" s="25"/>
      <c r="AF442" s="17" t="e">
        <f t="shared" si="44"/>
        <v>#REF!</v>
      </c>
    </row>
    <row r="443" spans="1:32" ht="25.5" customHeight="1" x14ac:dyDescent="0.3">
      <c r="A443" s="59"/>
      <c r="B443" s="49"/>
      <c r="C443" s="49"/>
      <c r="D443" s="50"/>
      <c r="E443" s="51"/>
      <c r="F443" s="52"/>
      <c r="G443" s="60"/>
      <c r="H443" s="52"/>
      <c r="I443" s="50"/>
      <c r="J443" s="150"/>
      <c r="K443" s="40"/>
      <c r="L443" s="56"/>
      <c r="M443" s="56"/>
      <c r="N443" s="149"/>
      <c r="O443" s="42"/>
      <c r="Q443" s="25"/>
      <c r="S443" s="25"/>
      <c r="T443" s="25"/>
      <c r="U443" s="25"/>
      <c r="V443" s="25"/>
      <c r="W443" s="25"/>
      <c r="X443" s="25"/>
      <c r="AF443" s="17" t="e">
        <f t="shared" si="44"/>
        <v>#REF!</v>
      </c>
    </row>
    <row r="444" spans="1:32" ht="25.5" customHeight="1" x14ac:dyDescent="0.3">
      <c r="A444" s="59"/>
      <c r="B444" s="49"/>
      <c r="C444" s="49"/>
      <c r="D444" s="50"/>
      <c r="E444" s="51"/>
      <c r="F444" s="52"/>
      <c r="G444" s="60"/>
      <c r="H444" s="52"/>
      <c r="I444" s="50"/>
      <c r="J444" s="39"/>
      <c r="K444" s="40"/>
      <c r="L444" s="56"/>
      <c r="M444" s="56"/>
      <c r="N444" s="149"/>
      <c r="O444" s="42"/>
      <c r="Q444" s="25"/>
      <c r="S444" s="25"/>
      <c r="T444" s="25"/>
      <c r="U444" s="25"/>
      <c r="V444" s="25"/>
      <c r="W444" s="25"/>
      <c r="X444" s="25"/>
      <c r="AF444" s="17" t="e">
        <f t="shared" si="44"/>
        <v>#REF!</v>
      </c>
    </row>
    <row r="445" spans="1:32" ht="25.5" customHeight="1" x14ac:dyDescent="0.3">
      <c r="A445" s="59"/>
      <c r="B445" s="49"/>
      <c r="C445" s="49"/>
      <c r="D445" s="50"/>
      <c r="E445" s="51"/>
      <c r="F445" s="52"/>
      <c r="G445" s="60"/>
      <c r="H445" s="52"/>
      <c r="I445" s="50"/>
      <c r="J445" s="39"/>
      <c r="K445" s="40"/>
      <c r="L445" s="56"/>
      <c r="M445" s="56"/>
      <c r="N445" s="149"/>
      <c r="O445" s="42"/>
      <c r="Q445" s="25"/>
      <c r="S445" s="25"/>
      <c r="T445" s="25"/>
      <c r="U445" s="25"/>
      <c r="V445" s="25"/>
      <c r="W445" s="25"/>
      <c r="X445" s="25"/>
      <c r="AF445" s="17" t="e">
        <f t="shared" si="44"/>
        <v>#REF!</v>
      </c>
    </row>
    <row r="446" spans="1:32" ht="25.5" customHeight="1" x14ac:dyDescent="0.3">
      <c r="A446" s="59"/>
      <c r="B446" s="49"/>
      <c r="C446" s="49"/>
      <c r="D446" s="50"/>
      <c r="E446" s="51"/>
      <c r="F446" s="52"/>
      <c r="G446" s="60"/>
      <c r="H446" s="52"/>
      <c r="I446" s="50"/>
      <c r="J446" s="39"/>
      <c r="K446" s="40"/>
      <c r="L446" s="56"/>
      <c r="M446" s="56"/>
      <c r="N446" s="149"/>
      <c r="O446" s="42"/>
      <c r="Q446" s="25"/>
      <c r="S446" s="25"/>
      <c r="T446" s="25"/>
      <c r="U446" s="25"/>
      <c r="V446" s="25"/>
      <c r="W446" s="25"/>
      <c r="X446" s="25"/>
      <c r="AF446" s="17" t="e">
        <f t="shared" si="44"/>
        <v>#REF!</v>
      </c>
    </row>
    <row r="447" spans="1:32" ht="25.5" customHeight="1" x14ac:dyDescent="0.3">
      <c r="A447" s="59"/>
      <c r="B447" s="49"/>
      <c r="C447" s="49"/>
      <c r="D447" s="50"/>
      <c r="E447" s="51"/>
      <c r="F447" s="52"/>
      <c r="G447" s="60"/>
      <c r="H447" s="52"/>
      <c r="I447" s="50"/>
      <c r="J447" s="150"/>
      <c r="K447" s="40"/>
      <c r="L447" s="56"/>
      <c r="M447" s="56"/>
      <c r="N447" s="149"/>
      <c r="O447" s="42"/>
      <c r="Q447" s="25"/>
      <c r="S447" s="25"/>
      <c r="T447" s="25"/>
      <c r="U447" s="25"/>
      <c r="V447" s="25"/>
      <c r="W447" s="25"/>
      <c r="X447" s="25"/>
      <c r="AF447" s="17" t="e">
        <f t="shared" si="44"/>
        <v>#REF!</v>
      </c>
    </row>
    <row r="448" spans="1:32" ht="25.5" customHeight="1" x14ac:dyDescent="0.3">
      <c r="A448" s="59"/>
      <c r="B448" s="49"/>
      <c r="C448" s="49"/>
      <c r="D448" s="50"/>
      <c r="E448" s="51"/>
      <c r="F448" s="52"/>
      <c r="G448" s="60"/>
      <c r="H448" s="52"/>
      <c r="I448" s="50"/>
      <c r="J448" s="150"/>
      <c r="K448" s="40"/>
      <c r="L448" s="56"/>
      <c r="M448" s="56"/>
      <c r="N448" s="149"/>
      <c r="O448" s="42"/>
      <c r="Q448" s="25"/>
      <c r="S448" s="25"/>
      <c r="T448" s="25"/>
      <c r="U448" s="25"/>
      <c r="V448" s="25"/>
      <c r="W448" s="25"/>
      <c r="X448" s="25"/>
      <c r="AF448" s="17" t="e">
        <f t="shared" si="44"/>
        <v>#REF!</v>
      </c>
    </row>
    <row r="449" spans="1:32" ht="25.5" customHeight="1" x14ac:dyDescent="0.3">
      <c r="A449" s="59"/>
      <c r="B449" s="49"/>
      <c r="C449" s="49"/>
      <c r="D449" s="50"/>
      <c r="E449" s="51"/>
      <c r="F449" s="52"/>
      <c r="G449" s="60"/>
      <c r="H449" s="52"/>
      <c r="I449" s="50"/>
      <c r="J449" s="150"/>
      <c r="K449" s="40"/>
      <c r="L449" s="56"/>
      <c r="M449" s="56"/>
      <c r="N449" s="149"/>
      <c r="O449" s="42"/>
      <c r="Q449" s="25"/>
      <c r="S449" s="25"/>
      <c r="T449" s="25"/>
      <c r="U449" s="25"/>
      <c r="V449" s="25"/>
      <c r="W449" s="25"/>
      <c r="X449" s="25"/>
      <c r="AF449" s="17" t="e">
        <f t="shared" si="44"/>
        <v>#REF!</v>
      </c>
    </row>
    <row r="450" spans="1:32" ht="25.5" customHeight="1" x14ac:dyDescent="0.3">
      <c r="A450" s="59"/>
      <c r="B450" s="49"/>
      <c r="C450" s="49"/>
      <c r="D450" s="50"/>
      <c r="E450" s="51"/>
      <c r="F450" s="52"/>
      <c r="G450" s="60"/>
      <c r="H450" s="52"/>
      <c r="I450" s="50"/>
      <c r="J450" s="150"/>
      <c r="K450" s="40"/>
      <c r="L450" s="56"/>
      <c r="M450" s="56"/>
      <c r="N450" s="149"/>
      <c r="O450" s="42"/>
      <c r="Q450" s="25"/>
      <c r="S450" s="25"/>
      <c r="T450" s="25"/>
      <c r="U450" s="25"/>
      <c r="V450" s="25"/>
      <c r="W450" s="25"/>
      <c r="X450" s="25"/>
      <c r="AF450" s="17" t="e">
        <f t="shared" si="44"/>
        <v>#REF!</v>
      </c>
    </row>
    <row r="451" spans="1:32" ht="25.5" customHeight="1" x14ac:dyDescent="0.3">
      <c r="A451" s="59"/>
      <c r="B451" s="49"/>
      <c r="C451" s="49"/>
      <c r="D451" s="50"/>
      <c r="E451" s="51"/>
      <c r="F451" s="52"/>
      <c r="G451" s="60"/>
      <c r="H451" s="52"/>
      <c r="I451" s="50"/>
      <c r="J451" s="150"/>
      <c r="K451" s="40"/>
      <c r="L451" s="56"/>
      <c r="M451" s="56"/>
      <c r="N451" s="149"/>
      <c r="O451" s="42"/>
      <c r="Q451" s="25"/>
      <c r="S451" s="25"/>
      <c r="T451" s="25"/>
      <c r="U451" s="25"/>
      <c r="V451" s="25"/>
      <c r="W451" s="25"/>
      <c r="X451" s="25"/>
      <c r="AF451" s="17" t="e">
        <f t="shared" si="44"/>
        <v>#REF!</v>
      </c>
    </row>
    <row r="452" spans="1:32" ht="25.5" customHeight="1" x14ac:dyDescent="0.3">
      <c r="A452" s="59"/>
      <c r="B452" s="49"/>
      <c r="C452" s="49"/>
      <c r="D452" s="50"/>
      <c r="E452" s="51"/>
      <c r="F452" s="52"/>
      <c r="G452" s="60"/>
      <c r="H452" s="52"/>
      <c r="I452" s="50"/>
      <c r="J452" s="150"/>
      <c r="K452" s="40"/>
      <c r="L452" s="56"/>
      <c r="M452" s="56"/>
      <c r="N452" s="149"/>
      <c r="O452" s="42"/>
      <c r="Q452" s="25"/>
      <c r="S452" s="25"/>
      <c r="T452" s="25"/>
      <c r="U452" s="25"/>
      <c r="V452" s="25"/>
      <c r="W452" s="25"/>
      <c r="X452" s="25"/>
      <c r="AF452" s="17" t="e">
        <f t="shared" si="44"/>
        <v>#REF!</v>
      </c>
    </row>
    <row r="453" spans="1:32" ht="25.5" customHeight="1" x14ac:dyDescent="0.3">
      <c r="A453" s="59"/>
      <c r="B453" s="49"/>
      <c r="C453" s="49"/>
      <c r="D453" s="50"/>
      <c r="E453" s="51"/>
      <c r="F453" s="52"/>
      <c r="G453" s="60"/>
      <c r="H453" s="52"/>
      <c r="I453" s="50"/>
      <c r="J453" s="150"/>
      <c r="K453" s="40"/>
      <c r="L453" s="56"/>
      <c r="M453" s="56"/>
      <c r="N453" s="149"/>
      <c r="O453" s="42"/>
      <c r="Q453" s="25"/>
      <c r="S453" s="25"/>
      <c r="T453" s="25"/>
      <c r="U453" s="25"/>
      <c r="V453" s="25"/>
      <c r="W453" s="25"/>
      <c r="X453" s="25"/>
      <c r="AF453" s="17" t="e">
        <f t="shared" si="44"/>
        <v>#REF!</v>
      </c>
    </row>
    <row r="454" spans="1:32" ht="25.5" customHeight="1" x14ac:dyDescent="0.3">
      <c r="A454" s="59"/>
      <c r="B454" s="49"/>
      <c r="C454" s="49"/>
      <c r="D454" s="50"/>
      <c r="E454" s="51"/>
      <c r="F454" s="52"/>
      <c r="G454" s="60"/>
      <c r="H454" s="52"/>
      <c r="I454" s="50"/>
      <c r="J454" s="150"/>
      <c r="K454" s="40"/>
      <c r="L454" s="56"/>
      <c r="M454" s="56"/>
      <c r="N454" s="149"/>
      <c r="O454" s="42"/>
      <c r="Q454" s="25"/>
      <c r="S454" s="25"/>
      <c r="T454" s="25"/>
      <c r="U454" s="25"/>
      <c r="V454" s="25"/>
      <c r="W454" s="25"/>
      <c r="X454" s="25"/>
      <c r="AF454" s="17" t="e">
        <f t="shared" si="44"/>
        <v>#REF!</v>
      </c>
    </row>
    <row r="455" spans="1:32" ht="25.5" customHeight="1" x14ac:dyDescent="0.3">
      <c r="A455" s="59"/>
      <c r="B455" s="49"/>
      <c r="C455" s="49"/>
      <c r="D455" s="50"/>
      <c r="E455" s="51"/>
      <c r="F455" s="52"/>
      <c r="G455" s="60"/>
      <c r="H455" s="52"/>
      <c r="I455" s="50"/>
      <c r="J455" s="150"/>
      <c r="K455" s="40"/>
      <c r="L455" s="56"/>
      <c r="M455" s="56"/>
      <c r="N455" s="149"/>
      <c r="O455" s="42"/>
      <c r="Q455" s="25"/>
      <c r="S455" s="25"/>
      <c r="T455" s="25"/>
      <c r="U455" s="25"/>
      <c r="V455" s="25"/>
      <c r="W455" s="25"/>
      <c r="X455" s="25"/>
      <c r="AF455" s="17" t="e">
        <f t="shared" si="44"/>
        <v>#REF!</v>
      </c>
    </row>
    <row r="456" spans="1:32" ht="25.5" customHeight="1" x14ac:dyDescent="0.3">
      <c r="A456" s="59"/>
      <c r="B456" s="49"/>
      <c r="C456" s="49"/>
      <c r="D456" s="50"/>
      <c r="E456" s="51"/>
      <c r="F456" s="52"/>
      <c r="G456" s="60"/>
      <c r="H456" s="52"/>
      <c r="I456" s="50"/>
      <c r="J456" s="54"/>
      <c r="K456" s="40"/>
      <c r="L456" s="56"/>
      <c r="M456" s="56"/>
      <c r="N456" s="50"/>
      <c r="O456" s="42" t="e">
        <f>L456/(K456+L456+M456)*100</f>
        <v>#DIV/0!</v>
      </c>
      <c r="Q456" s="25"/>
      <c r="S456" s="25"/>
      <c r="T456" s="25"/>
      <c r="U456" s="25"/>
      <c r="V456" s="25"/>
      <c r="W456" s="25"/>
      <c r="X456" s="25"/>
      <c r="AF456" s="17" t="e">
        <f t="shared" si="44"/>
        <v>#REF!</v>
      </c>
    </row>
    <row r="457" spans="1:32" ht="25.5" customHeight="1" x14ac:dyDescent="0.3">
      <c r="A457" s="59"/>
      <c r="B457" s="49"/>
      <c r="C457" s="49"/>
      <c r="D457" s="50"/>
      <c r="E457" s="51"/>
      <c r="F457" s="52"/>
      <c r="G457" s="60"/>
      <c r="H457" s="52"/>
      <c r="I457" s="50"/>
      <c r="J457" s="39"/>
      <c r="O457" s="42"/>
      <c r="Q457" s="25"/>
      <c r="S457" s="25"/>
      <c r="T457" s="25"/>
      <c r="U457" s="25"/>
      <c r="V457" s="25"/>
      <c r="W457" s="25"/>
      <c r="X457" s="25"/>
      <c r="AF457" s="17" t="e">
        <f t="shared" si="44"/>
        <v>#REF!</v>
      </c>
    </row>
    <row r="458" spans="1:32" ht="25.5" customHeight="1" x14ac:dyDescent="0.3">
      <c r="J458" s="155" t="s">
        <v>82</v>
      </c>
      <c r="K458" s="155"/>
      <c r="L458" s="155"/>
      <c r="Q458" s="25"/>
      <c r="S458" s="25"/>
      <c r="T458" s="25"/>
      <c r="U458" s="25"/>
      <c r="V458" s="25"/>
      <c r="W458" s="25"/>
      <c r="X458" s="25"/>
      <c r="AF458" s="17" t="e">
        <f t="shared" si="44"/>
        <v>#REF!</v>
      </c>
    </row>
    <row r="459" spans="1:32" ht="22.5" customHeight="1" x14ac:dyDescent="0.3">
      <c r="J459" s="39" t="s">
        <v>83</v>
      </c>
      <c r="K459" s="40" t="s">
        <v>84</v>
      </c>
      <c r="L459" s="156" t="s">
        <v>85</v>
      </c>
      <c r="M459" s="28" t="s">
        <v>86</v>
      </c>
      <c r="Q459" s="25"/>
      <c r="S459" s="25"/>
      <c r="T459" s="25"/>
      <c r="U459" s="25"/>
      <c r="V459" s="25"/>
      <c r="W459" s="25"/>
      <c r="X459" s="25"/>
      <c r="AF459" s="17" t="e">
        <f t="shared" si="44"/>
        <v>#REF!</v>
      </c>
    </row>
    <row r="460" spans="1:32" ht="22.5" customHeight="1" x14ac:dyDescent="0.3">
      <c r="F460" s="157"/>
      <c r="G460" s="29"/>
      <c r="J460" s="39" t="s">
        <v>23</v>
      </c>
      <c r="K460" s="40">
        <f>SUMIF($J$5:$J$456,J460,$K$5:$K$456)</f>
        <v>403715</v>
      </c>
      <c r="L460" s="134">
        <f>SUMIF($J$5:$J$456,J460,$L$5:$L$456)</f>
        <v>162</v>
      </c>
      <c r="M460" s="134">
        <f>SUMIF($J$5:$J$456,J460,$M$5:$M$456)</f>
        <v>122</v>
      </c>
      <c r="N460" s="158">
        <f>[2]H.Giang!$L$77</f>
        <v>83540</v>
      </c>
      <c r="O460" s="158">
        <f ca="1">SUM(K460:K491)+K500+K501</f>
        <v>733128</v>
      </c>
      <c r="P460" s="158">
        <f ca="1">N460-O460</f>
        <v>-649588</v>
      </c>
      <c r="Q460" s="25"/>
      <c r="S460" s="25"/>
      <c r="T460" s="25"/>
      <c r="U460" s="25"/>
      <c r="V460" s="25"/>
      <c r="W460" s="25"/>
      <c r="X460" s="25"/>
      <c r="AE460" s="25">
        <v>1</v>
      </c>
      <c r="AF460" s="17" t="str">
        <f t="shared" si="44"/>
        <v/>
      </c>
    </row>
    <row r="461" spans="1:32" ht="22.5" customHeight="1" x14ac:dyDescent="0.3">
      <c r="F461" s="157"/>
      <c r="G461" s="29"/>
      <c r="J461" s="39" t="s">
        <v>87</v>
      </c>
      <c r="K461" s="40">
        <f ca="1">SUMIF($J$5:$J$456,J461,$K$5:M13)</f>
        <v>0</v>
      </c>
      <c r="L461" s="134">
        <f>SUMIF($J$5:$J$456,J461,$L$5:$L$456)</f>
        <v>0</v>
      </c>
      <c r="M461" s="134">
        <f>SUMIF($J$5:$J$456,J461,$M$5:$M$456)</f>
        <v>0</v>
      </c>
      <c r="N461" s="158"/>
      <c r="O461" s="158"/>
      <c r="P461" s="158"/>
      <c r="Q461" s="25"/>
      <c r="S461" s="25"/>
      <c r="T461" s="25"/>
      <c r="U461" s="25"/>
      <c r="V461" s="25"/>
      <c r="W461" s="25"/>
      <c r="X461" s="25"/>
      <c r="AE461" s="25">
        <v>1</v>
      </c>
      <c r="AF461" s="17" t="str">
        <f t="shared" si="44"/>
        <v/>
      </c>
    </row>
    <row r="462" spans="1:32" ht="22.5" customHeight="1" x14ac:dyDescent="0.3">
      <c r="F462" s="157"/>
      <c r="G462" s="29"/>
      <c r="J462" s="39" t="s">
        <v>60</v>
      </c>
      <c r="K462" s="40">
        <f ca="1">SUMIF($J$5:$J$456,J462,$K$5:M14)</f>
        <v>4470</v>
      </c>
      <c r="L462" s="134">
        <f t="shared" ref="L462:L525" si="45">SUMIF($J$5:$J$456,J462,$L$5:$L$456)</f>
        <v>0</v>
      </c>
      <c r="M462" s="134">
        <f t="shared" ref="M462:M525" si="46">SUMIF($J$5:$J$456,J462,$M$5:$M$456)</f>
        <v>17</v>
      </c>
      <c r="N462" s="158"/>
      <c r="O462" s="158"/>
      <c r="P462" s="158"/>
      <c r="Q462" s="25"/>
      <c r="S462" s="25"/>
      <c r="T462" s="25"/>
      <c r="U462" s="25"/>
      <c r="V462" s="25"/>
      <c r="W462" s="25"/>
      <c r="X462" s="25"/>
    </row>
    <row r="463" spans="1:32" ht="22.5" customHeight="1" x14ac:dyDescent="0.3">
      <c r="F463" s="157"/>
      <c r="G463" s="29"/>
      <c r="J463" s="39" t="s">
        <v>88</v>
      </c>
      <c r="K463" s="40">
        <f ca="1">SUMIF($J$5:$J$456,J463,$K$5:M13)</f>
        <v>0</v>
      </c>
      <c r="L463" s="134">
        <f t="shared" si="45"/>
        <v>0</v>
      </c>
      <c r="M463" s="134">
        <f t="shared" si="46"/>
        <v>0</v>
      </c>
      <c r="N463" s="158"/>
      <c r="O463" s="158"/>
      <c r="P463" s="158"/>
      <c r="Q463" s="25"/>
      <c r="S463" s="25"/>
      <c r="T463" s="25"/>
      <c r="U463" s="25"/>
      <c r="V463" s="25"/>
      <c r="W463" s="25"/>
      <c r="X463" s="25"/>
      <c r="AE463" s="25">
        <v>1</v>
      </c>
      <c r="AF463" s="17" t="str">
        <f>+IF(A463&lt;&gt;0,A463,IF(AND(A463="",AE463=1),"",AF461))</f>
        <v/>
      </c>
    </row>
    <row r="464" spans="1:32" ht="22.5" customHeight="1" x14ac:dyDescent="0.3">
      <c r="F464" s="157"/>
      <c r="G464" s="29"/>
      <c r="J464" s="39" t="s">
        <v>89</v>
      </c>
      <c r="K464" s="40">
        <f ca="1">SUMIF($J$5:$J$456,J464,$K$5:M24)</f>
        <v>0</v>
      </c>
      <c r="L464" s="134">
        <f t="shared" si="45"/>
        <v>0</v>
      </c>
      <c r="M464" s="134">
        <f t="shared" si="46"/>
        <v>0</v>
      </c>
      <c r="N464" s="158"/>
      <c r="O464" s="158"/>
      <c r="Q464" s="25"/>
      <c r="S464" s="25"/>
      <c r="T464" s="25"/>
      <c r="U464" s="25"/>
      <c r="V464" s="25"/>
      <c r="W464" s="25"/>
      <c r="X464" s="25"/>
      <c r="AE464" s="25">
        <v>1</v>
      </c>
      <c r="AF464" s="17" t="str">
        <f t="shared" si="44"/>
        <v/>
      </c>
    </row>
    <row r="465" spans="1:32" ht="22.5" customHeight="1" x14ac:dyDescent="0.3">
      <c r="F465" s="157"/>
      <c r="G465" s="29"/>
      <c r="J465" s="39" t="s">
        <v>90</v>
      </c>
      <c r="K465" s="40">
        <f ca="1">SUMIF($J$5:$J$456,J465,$K$5:M24)</f>
        <v>0</v>
      </c>
      <c r="L465" s="134">
        <f t="shared" si="45"/>
        <v>0</v>
      </c>
      <c r="M465" s="134">
        <f t="shared" si="46"/>
        <v>0</v>
      </c>
      <c r="N465" s="158"/>
      <c r="O465" s="158"/>
      <c r="Q465" s="25"/>
      <c r="S465" s="25"/>
      <c r="T465" s="25"/>
      <c r="U465" s="25"/>
      <c r="V465" s="25"/>
      <c r="W465" s="25"/>
      <c r="X465" s="25"/>
      <c r="AE465" s="25">
        <v>1</v>
      </c>
      <c r="AF465" s="17" t="str">
        <f t="shared" si="44"/>
        <v/>
      </c>
    </row>
    <row r="466" spans="1:32" ht="22.5" customHeight="1" x14ac:dyDescent="0.3">
      <c r="F466" s="157"/>
      <c r="G466" s="29"/>
      <c r="J466" s="39" t="s">
        <v>91</v>
      </c>
      <c r="K466" s="40">
        <f ca="1">SUMIF($J$5:$J$456,J466,$K$5:M25)</f>
        <v>0</v>
      </c>
      <c r="L466" s="134">
        <f t="shared" si="45"/>
        <v>0</v>
      </c>
      <c r="M466" s="134">
        <f t="shared" si="46"/>
        <v>0</v>
      </c>
      <c r="N466" s="158"/>
      <c r="O466" s="158"/>
      <c r="Q466" s="25"/>
      <c r="S466" s="25"/>
      <c r="T466" s="25"/>
      <c r="U466" s="25"/>
      <c r="V466" s="25"/>
      <c r="W466" s="25"/>
      <c r="X466" s="25"/>
      <c r="AE466" s="25">
        <v>1</v>
      </c>
      <c r="AF466" s="17" t="str">
        <f t="shared" si="44"/>
        <v/>
      </c>
    </row>
    <row r="467" spans="1:32" ht="22.5" customHeight="1" x14ac:dyDescent="0.3">
      <c r="A467" s="25"/>
      <c r="G467" s="29"/>
      <c r="J467" s="39" t="s">
        <v>31</v>
      </c>
      <c r="K467" s="40">
        <f ca="1">SUMIF($J$5:$J$456,J467,$K$5:M27)</f>
        <v>227675</v>
      </c>
      <c r="L467" s="134">
        <f t="shared" si="45"/>
        <v>83</v>
      </c>
      <c r="M467" s="134">
        <f t="shared" si="46"/>
        <v>52</v>
      </c>
      <c r="N467" s="158"/>
      <c r="O467" s="159"/>
      <c r="P467" s="160"/>
      <c r="Q467" s="161"/>
      <c r="S467" s="25"/>
      <c r="T467" s="25"/>
      <c r="U467" s="25"/>
      <c r="V467" s="25"/>
      <c r="W467" s="25"/>
      <c r="X467" s="25"/>
      <c r="AE467" s="25">
        <v>1</v>
      </c>
      <c r="AF467" s="17" t="str">
        <f t="shared" si="44"/>
        <v/>
      </c>
    </row>
    <row r="468" spans="1:32" ht="22.5" customHeight="1" x14ac:dyDescent="0.3">
      <c r="A468" s="25"/>
      <c r="G468" s="29"/>
      <c r="J468" s="39" t="s">
        <v>92</v>
      </c>
      <c r="K468" s="40">
        <f ca="1">SUMIF($J$5:$J$456,J468,$K$5:M28)</f>
        <v>0</v>
      </c>
      <c r="L468" s="134">
        <f t="shared" si="45"/>
        <v>0</v>
      </c>
      <c r="M468" s="134">
        <f t="shared" si="46"/>
        <v>0</v>
      </c>
      <c r="N468" s="158"/>
      <c r="O468" s="159"/>
      <c r="P468" s="160"/>
      <c r="Q468" s="161"/>
      <c r="S468" s="25"/>
      <c r="T468" s="25"/>
      <c r="U468" s="25"/>
      <c r="V468" s="25"/>
      <c r="W468" s="25"/>
      <c r="X468" s="25"/>
      <c r="AE468" s="25">
        <v>1</v>
      </c>
      <c r="AF468" s="17" t="str">
        <f t="shared" si="44"/>
        <v/>
      </c>
    </row>
    <row r="469" spans="1:32" ht="22.5" customHeight="1" x14ac:dyDescent="0.3">
      <c r="A469" s="25"/>
      <c r="G469" s="29"/>
      <c r="J469" s="39" t="s">
        <v>93</v>
      </c>
      <c r="K469" s="40">
        <f ca="1">SUMIF($J$5:$J$456,J469,$K$5:M28)</f>
        <v>0</v>
      </c>
      <c r="L469" s="134">
        <f t="shared" si="45"/>
        <v>0</v>
      </c>
      <c r="M469" s="134">
        <f t="shared" si="46"/>
        <v>0</v>
      </c>
      <c r="N469" s="158"/>
      <c r="O469" s="159"/>
      <c r="P469" s="160"/>
      <c r="Q469" s="161"/>
      <c r="S469" s="25"/>
      <c r="T469" s="25"/>
      <c r="U469" s="25"/>
      <c r="V469" s="25"/>
      <c r="W469" s="25"/>
      <c r="X469" s="25"/>
      <c r="AE469" s="25">
        <v>1</v>
      </c>
      <c r="AF469" s="17" t="str">
        <f t="shared" ref="AF469:AF532" si="47">+IF(A469&lt;&gt;0,A469,IF(AND(A469="",AE469=1),"",AF468))</f>
        <v/>
      </c>
    </row>
    <row r="470" spans="1:32" ht="22.5" customHeight="1" x14ac:dyDescent="0.3">
      <c r="A470" s="25"/>
      <c r="G470" s="29"/>
      <c r="J470" s="151" t="s">
        <v>94</v>
      </c>
      <c r="K470" s="40">
        <f ca="1">SUMIF($J$5:$J$456,J470,$K$5:M29)</f>
        <v>0</v>
      </c>
      <c r="L470" s="134">
        <f t="shared" si="45"/>
        <v>0</v>
      </c>
      <c r="M470" s="134">
        <f t="shared" si="46"/>
        <v>0</v>
      </c>
      <c r="N470" s="158"/>
      <c r="O470" s="159"/>
      <c r="P470" s="160"/>
      <c r="Q470" s="161"/>
      <c r="S470" s="25"/>
      <c r="T470" s="25"/>
      <c r="U470" s="25"/>
      <c r="V470" s="25"/>
      <c r="W470" s="25"/>
      <c r="X470" s="25"/>
      <c r="AE470" s="25">
        <v>1</v>
      </c>
      <c r="AF470" s="17" t="str">
        <f t="shared" si="47"/>
        <v/>
      </c>
    </row>
    <row r="471" spans="1:32" ht="22.5" customHeight="1" x14ac:dyDescent="0.3">
      <c r="A471" s="25"/>
      <c r="G471" s="29"/>
      <c r="J471" s="39" t="s">
        <v>95</v>
      </c>
      <c r="K471" s="40">
        <f ca="1">SUMIF($J$5:$J$456,J471,$K$5:M31)</f>
        <v>0</v>
      </c>
      <c r="L471" s="134">
        <f t="shared" si="45"/>
        <v>0</v>
      </c>
      <c r="M471" s="134">
        <f t="shared" si="46"/>
        <v>0</v>
      </c>
      <c r="N471" s="158"/>
      <c r="O471" s="159"/>
      <c r="P471" s="160"/>
      <c r="Q471" s="161"/>
      <c r="S471" s="25"/>
      <c r="T471" s="25"/>
      <c r="U471" s="25"/>
      <c r="V471" s="25"/>
      <c r="W471" s="25"/>
      <c r="X471" s="25"/>
      <c r="AE471" s="25">
        <v>1</v>
      </c>
      <c r="AF471" s="17" t="str">
        <f t="shared" si="47"/>
        <v/>
      </c>
    </row>
    <row r="472" spans="1:32" ht="22.5" customHeight="1" x14ac:dyDescent="0.3">
      <c r="A472" s="25"/>
      <c r="G472" s="29"/>
      <c r="J472" s="39" t="s">
        <v>46</v>
      </c>
      <c r="K472" s="40">
        <f ca="1">SUMIF($J$5:$J$456,J472,$K$5:M32)</f>
        <v>66585</v>
      </c>
      <c r="L472" s="134">
        <f t="shared" si="45"/>
        <v>41</v>
      </c>
      <c r="M472" s="134">
        <f t="shared" si="46"/>
        <v>45</v>
      </c>
      <c r="O472" s="162"/>
      <c r="P472" s="163"/>
      <c r="Q472" s="164"/>
      <c r="R472" s="158"/>
      <c r="S472" s="25"/>
      <c r="T472" s="25"/>
      <c r="U472" s="25"/>
      <c r="V472" s="25"/>
      <c r="W472" s="25"/>
      <c r="X472" s="25"/>
      <c r="AE472" s="25">
        <v>1</v>
      </c>
      <c r="AF472" s="17" t="str">
        <f t="shared" si="47"/>
        <v/>
      </c>
    </row>
    <row r="473" spans="1:32" ht="22.5" customHeight="1" x14ac:dyDescent="0.3">
      <c r="A473" s="25"/>
      <c r="G473" s="29"/>
      <c r="J473" s="39" t="s">
        <v>96</v>
      </c>
      <c r="K473" s="40">
        <f ca="1">SUMIF($J$5:$J$456,J473,$K$5:M35)</f>
        <v>0</v>
      </c>
      <c r="L473" s="134">
        <f t="shared" si="45"/>
        <v>0</v>
      </c>
      <c r="M473" s="134">
        <f t="shared" si="46"/>
        <v>0</v>
      </c>
      <c r="O473" s="162"/>
      <c r="P473" s="163"/>
      <c r="Q473" s="164"/>
      <c r="R473" s="158"/>
      <c r="S473" s="25"/>
      <c r="T473" s="25"/>
      <c r="U473" s="25"/>
      <c r="V473" s="25"/>
      <c r="W473" s="25"/>
      <c r="X473" s="25"/>
      <c r="AE473" s="25">
        <v>1</v>
      </c>
      <c r="AF473" s="17" t="str">
        <f t="shared" si="47"/>
        <v/>
      </c>
    </row>
    <row r="474" spans="1:32" ht="22.5" customHeight="1" x14ac:dyDescent="0.3">
      <c r="A474" s="25"/>
      <c r="G474" s="29"/>
      <c r="J474" s="39" t="s">
        <v>97</v>
      </c>
      <c r="K474" s="40">
        <f ca="1">SUMIF($J$5:$J$456,J474,$K$5:M37)</f>
        <v>0</v>
      </c>
      <c r="L474" s="134">
        <f t="shared" si="45"/>
        <v>0</v>
      </c>
      <c r="M474" s="134">
        <f t="shared" si="46"/>
        <v>0</v>
      </c>
      <c r="O474" s="165"/>
      <c r="P474" s="165"/>
      <c r="Q474" s="164"/>
      <c r="S474" s="25"/>
      <c r="T474" s="25"/>
      <c r="U474" s="25"/>
      <c r="V474" s="25"/>
      <c r="W474" s="25"/>
      <c r="X474" s="25"/>
      <c r="AE474" s="25">
        <v>1</v>
      </c>
      <c r="AF474" s="17" t="str">
        <f t="shared" si="47"/>
        <v/>
      </c>
    </row>
    <row r="475" spans="1:32" ht="22.5" customHeight="1" x14ac:dyDescent="0.3">
      <c r="A475" s="25"/>
      <c r="G475" s="29"/>
      <c r="J475" s="118" t="s">
        <v>98</v>
      </c>
      <c r="K475" s="40">
        <f ca="1">SUMIF($J$5:$J$456,J475,$K$5:M40)</f>
        <v>0</v>
      </c>
      <c r="L475" s="134">
        <f t="shared" si="45"/>
        <v>0</v>
      </c>
      <c r="M475" s="134">
        <f t="shared" si="46"/>
        <v>0</v>
      </c>
      <c r="O475" s="165"/>
      <c r="P475" s="165"/>
      <c r="Q475" s="164"/>
      <c r="S475" s="25"/>
      <c r="T475" s="25"/>
      <c r="U475" s="25"/>
      <c r="V475" s="25"/>
      <c r="W475" s="25"/>
      <c r="X475" s="25"/>
      <c r="AE475" s="25">
        <v>1</v>
      </c>
      <c r="AF475" s="17" t="str">
        <f t="shared" si="47"/>
        <v/>
      </c>
    </row>
    <row r="476" spans="1:32" ht="22.5" customHeight="1" x14ac:dyDescent="0.3">
      <c r="A476" s="25"/>
      <c r="G476" s="29"/>
      <c r="J476" s="118" t="s">
        <v>99</v>
      </c>
      <c r="K476" s="40">
        <f ca="1">SUMIF($J$5:$J$456,J476,$K$5:M43)</f>
        <v>0</v>
      </c>
      <c r="L476" s="134">
        <f t="shared" si="45"/>
        <v>0</v>
      </c>
      <c r="M476" s="134">
        <f t="shared" si="46"/>
        <v>0</v>
      </c>
      <c r="O476" s="165"/>
      <c r="P476" s="165"/>
      <c r="Q476" s="164"/>
      <c r="S476" s="25"/>
      <c r="T476" s="25"/>
      <c r="U476" s="25"/>
      <c r="V476" s="25"/>
      <c r="W476" s="25"/>
      <c r="X476" s="25"/>
      <c r="AE476" s="25">
        <v>1</v>
      </c>
      <c r="AF476" s="17" t="str">
        <f t="shared" si="47"/>
        <v/>
      </c>
    </row>
    <row r="477" spans="1:32" ht="22.5" customHeight="1" x14ac:dyDescent="0.3">
      <c r="A477" s="25"/>
      <c r="G477" s="29"/>
      <c r="J477" s="118" t="s">
        <v>100</v>
      </c>
      <c r="K477" s="40">
        <f ca="1">SUMIF($J$5:$J$456,J477,$K$5:M44)</f>
        <v>0</v>
      </c>
      <c r="L477" s="134">
        <f t="shared" si="45"/>
        <v>0</v>
      </c>
      <c r="M477" s="134">
        <f t="shared" si="46"/>
        <v>0</v>
      </c>
      <c r="O477" s="165"/>
      <c r="P477" s="165"/>
      <c r="Q477" s="164"/>
      <c r="S477" s="25"/>
      <c r="T477" s="25"/>
      <c r="U477" s="25"/>
      <c r="V477" s="25"/>
      <c r="W477" s="25"/>
      <c r="X477" s="25"/>
      <c r="AE477" s="25">
        <v>1</v>
      </c>
      <c r="AF477" s="17" t="str">
        <f t="shared" si="47"/>
        <v/>
      </c>
    </row>
    <row r="478" spans="1:32" ht="22.5" customHeight="1" x14ac:dyDescent="0.3">
      <c r="A478" s="25"/>
      <c r="G478" s="29"/>
      <c r="J478" s="118" t="s">
        <v>101</v>
      </c>
      <c r="K478" s="40">
        <f ca="1">SUMIF($J$5:$J$456,J478,$K$5:M44)</f>
        <v>0</v>
      </c>
      <c r="L478" s="134">
        <f t="shared" si="45"/>
        <v>0</v>
      </c>
      <c r="M478" s="134">
        <f t="shared" si="46"/>
        <v>0</v>
      </c>
      <c r="O478" s="165"/>
      <c r="P478" s="165"/>
      <c r="Q478" s="164"/>
      <c r="S478" s="25"/>
      <c r="T478" s="25"/>
      <c r="U478" s="25"/>
      <c r="V478" s="25"/>
      <c r="W478" s="25"/>
      <c r="X478" s="25"/>
      <c r="AE478" s="25">
        <v>1</v>
      </c>
      <c r="AF478" s="17" t="str">
        <f t="shared" si="47"/>
        <v/>
      </c>
    </row>
    <row r="479" spans="1:32" ht="22.5" customHeight="1" x14ac:dyDescent="0.3">
      <c r="A479" s="25"/>
      <c r="G479" s="29"/>
      <c r="J479" s="118" t="s">
        <v>102</v>
      </c>
      <c r="K479" s="40">
        <f ca="1">SUMIF($J$5:$J$456,J479,$K$5:M45)</f>
        <v>0</v>
      </c>
      <c r="L479" s="134">
        <f t="shared" si="45"/>
        <v>0</v>
      </c>
      <c r="M479" s="134">
        <f t="shared" si="46"/>
        <v>0</v>
      </c>
      <c r="O479" s="165"/>
      <c r="P479" s="165"/>
      <c r="Q479" s="164"/>
      <c r="S479" s="25"/>
      <c r="T479" s="25"/>
      <c r="U479" s="25"/>
      <c r="V479" s="25"/>
      <c r="W479" s="25"/>
      <c r="X479" s="25"/>
      <c r="AE479" s="25">
        <v>1</v>
      </c>
      <c r="AF479" s="17" t="str">
        <f t="shared" si="47"/>
        <v/>
      </c>
    </row>
    <row r="480" spans="1:32" ht="22.5" customHeight="1" x14ac:dyDescent="0.3">
      <c r="A480" s="25"/>
      <c r="G480" s="29"/>
      <c r="J480" s="118" t="s">
        <v>103</v>
      </c>
      <c r="K480" s="40">
        <f ca="1">SUMIF($J$5:$J$456,J480,$K$5:M47)</f>
        <v>0</v>
      </c>
      <c r="L480" s="134">
        <f t="shared" si="45"/>
        <v>0</v>
      </c>
      <c r="M480" s="134">
        <f t="shared" si="46"/>
        <v>0</v>
      </c>
      <c r="O480" s="165"/>
      <c r="P480" s="165"/>
      <c r="Q480" s="164"/>
      <c r="S480" s="25"/>
      <c r="T480" s="25"/>
      <c r="U480" s="25"/>
      <c r="V480" s="25"/>
      <c r="W480" s="25"/>
      <c r="X480" s="25"/>
      <c r="AE480" s="25">
        <v>1</v>
      </c>
      <c r="AF480" s="17" t="str">
        <f t="shared" si="47"/>
        <v/>
      </c>
    </row>
    <row r="481" spans="1:32" ht="22.5" customHeight="1" x14ac:dyDescent="0.3">
      <c r="A481" s="25"/>
      <c r="G481" s="29"/>
      <c r="J481" s="54" t="s">
        <v>104</v>
      </c>
      <c r="K481" s="40">
        <f ca="1">SUMIF($J$5:$J$456,J481,$K$5:M49)</f>
        <v>0</v>
      </c>
      <c r="L481" s="134">
        <f t="shared" si="45"/>
        <v>0</v>
      </c>
      <c r="M481" s="134">
        <f t="shared" si="46"/>
        <v>0</v>
      </c>
      <c r="O481" s="165"/>
      <c r="P481" s="165"/>
      <c r="Q481" s="164"/>
      <c r="S481" s="25"/>
      <c r="T481" s="25"/>
      <c r="U481" s="25"/>
      <c r="V481" s="25"/>
      <c r="W481" s="25"/>
      <c r="X481" s="25"/>
      <c r="AE481" s="25">
        <v>1</v>
      </c>
      <c r="AF481" s="17" t="str">
        <f t="shared" si="47"/>
        <v/>
      </c>
    </row>
    <row r="482" spans="1:32" ht="22.5" customHeight="1" x14ac:dyDescent="0.3">
      <c r="A482" s="25"/>
      <c r="G482" s="29"/>
      <c r="J482" s="54" t="s">
        <v>105</v>
      </c>
      <c r="K482" s="40">
        <f ca="1">SUMIF($J$5:$J$456,J482,$K$5:M45)</f>
        <v>0</v>
      </c>
      <c r="L482" s="134">
        <f t="shared" si="45"/>
        <v>0</v>
      </c>
      <c r="M482" s="134">
        <f t="shared" si="46"/>
        <v>0</v>
      </c>
      <c r="O482" s="165"/>
      <c r="P482" s="165"/>
      <c r="Q482" s="164"/>
      <c r="S482" s="25"/>
      <c r="T482" s="25"/>
      <c r="U482" s="25"/>
      <c r="V482" s="25"/>
      <c r="W482" s="25"/>
      <c r="X482" s="25"/>
      <c r="AE482" s="25">
        <v>1</v>
      </c>
      <c r="AF482" s="17" t="str">
        <f t="shared" si="47"/>
        <v/>
      </c>
    </row>
    <row r="483" spans="1:32" ht="22.5" customHeight="1" x14ac:dyDescent="0.3">
      <c r="A483" s="25"/>
      <c r="G483" s="29"/>
      <c r="J483" s="118" t="s">
        <v>106</v>
      </c>
      <c r="K483" s="40">
        <f ca="1">SUMIF($J$5:$J$456,J483,$K$5:M45)</f>
        <v>0</v>
      </c>
      <c r="L483" s="134">
        <f t="shared" si="45"/>
        <v>0</v>
      </c>
      <c r="M483" s="134">
        <f t="shared" si="46"/>
        <v>0</v>
      </c>
      <c r="O483" s="165"/>
      <c r="P483" s="165"/>
      <c r="Q483" s="164"/>
      <c r="S483" s="25"/>
      <c r="T483" s="25"/>
      <c r="U483" s="25"/>
      <c r="V483" s="25"/>
      <c r="W483" s="25"/>
      <c r="X483" s="25"/>
      <c r="AE483" s="25">
        <v>1</v>
      </c>
      <c r="AF483" s="17" t="str">
        <f t="shared" si="47"/>
        <v/>
      </c>
    </row>
    <row r="484" spans="1:32" ht="22.5" customHeight="1" x14ac:dyDescent="0.3">
      <c r="A484" s="25"/>
      <c r="G484" s="29"/>
      <c r="J484" s="118" t="s">
        <v>107</v>
      </c>
      <c r="K484" s="40">
        <f ca="1">SUMIF($J$5:$J$456,J484,$K$5:M47)</f>
        <v>0</v>
      </c>
      <c r="L484" s="134">
        <f t="shared" si="45"/>
        <v>0</v>
      </c>
      <c r="M484" s="134">
        <f t="shared" si="46"/>
        <v>0</v>
      </c>
      <c r="O484" s="165"/>
      <c r="P484" s="165"/>
      <c r="Q484" s="164"/>
      <c r="S484" s="25"/>
      <c r="T484" s="25"/>
      <c r="U484" s="25"/>
      <c r="V484" s="25"/>
      <c r="W484" s="25"/>
      <c r="X484" s="25"/>
      <c r="AE484" s="25">
        <v>1</v>
      </c>
      <c r="AF484" s="17" t="str">
        <f t="shared" si="47"/>
        <v/>
      </c>
    </row>
    <row r="485" spans="1:32" ht="22.5" customHeight="1" x14ac:dyDescent="0.3">
      <c r="A485" s="25"/>
      <c r="G485" s="29"/>
      <c r="J485" s="39" t="s">
        <v>108</v>
      </c>
      <c r="K485" s="40">
        <f ca="1">SUMIF($J$5:$J$456,J485,$K$5:M49)</f>
        <v>0</v>
      </c>
      <c r="L485" s="134">
        <f t="shared" si="45"/>
        <v>0</v>
      </c>
      <c r="M485" s="134">
        <f t="shared" si="46"/>
        <v>0</v>
      </c>
      <c r="N485" s="158">
        <f ca="1">K469-124550</f>
        <v>-124550</v>
      </c>
      <c r="O485" s="166"/>
      <c r="P485" s="165"/>
      <c r="Q485" s="164"/>
      <c r="S485" s="25"/>
      <c r="T485" s="25"/>
      <c r="U485" s="25"/>
      <c r="V485" s="25"/>
      <c r="W485" s="25"/>
      <c r="X485" s="25"/>
      <c r="AE485" s="25">
        <v>1</v>
      </c>
      <c r="AF485" s="17" t="str">
        <f t="shared" si="47"/>
        <v/>
      </c>
    </row>
    <row r="486" spans="1:32" ht="22.5" customHeight="1" x14ac:dyDescent="0.3">
      <c r="A486" s="25"/>
      <c r="G486" s="29"/>
      <c r="J486" s="39" t="s">
        <v>109</v>
      </c>
      <c r="K486" s="40">
        <f ca="1">SUMIF($J$5:$J$456,J486,$K$5:M51)</f>
        <v>0</v>
      </c>
      <c r="L486" s="134">
        <f t="shared" si="45"/>
        <v>0</v>
      </c>
      <c r="M486" s="134">
        <f t="shared" si="46"/>
        <v>0</v>
      </c>
      <c r="O486" s="166"/>
      <c r="P486" s="165"/>
      <c r="Q486" s="164"/>
      <c r="S486" s="25"/>
      <c r="T486" s="25"/>
      <c r="U486" s="25"/>
      <c r="V486" s="25"/>
      <c r="W486" s="25"/>
      <c r="X486" s="25"/>
      <c r="AE486" s="25">
        <v>1</v>
      </c>
      <c r="AF486" s="17" t="str">
        <f t="shared" si="47"/>
        <v/>
      </c>
    </row>
    <row r="487" spans="1:32" ht="22.5" customHeight="1" x14ac:dyDescent="0.3">
      <c r="A487" s="25"/>
      <c r="J487" s="120" t="s">
        <v>110</v>
      </c>
      <c r="K487" s="40">
        <f ca="1">SUMIF($J$5:$J$456,J487,$K$5:M54)</f>
        <v>0</v>
      </c>
      <c r="L487" s="134">
        <f t="shared" si="45"/>
        <v>0</v>
      </c>
      <c r="M487" s="134">
        <f t="shared" si="46"/>
        <v>0</v>
      </c>
      <c r="N487" s="154"/>
      <c r="O487" s="165"/>
      <c r="P487" s="165"/>
      <c r="Q487" s="164"/>
      <c r="S487" s="25"/>
      <c r="T487" s="25"/>
      <c r="U487" s="25"/>
      <c r="V487" s="25"/>
      <c r="W487" s="25"/>
      <c r="X487" s="25"/>
      <c r="AE487" s="25">
        <v>1</v>
      </c>
      <c r="AF487" s="17" t="str">
        <f t="shared" si="47"/>
        <v/>
      </c>
    </row>
    <row r="488" spans="1:32" ht="22.5" customHeight="1" x14ac:dyDescent="0.3">
      <c r="A488" s="25"/>
      <c r="J488" s="167" t="s">
        <v>111</v>
      </c>
      <c r="K488" s="40">
        <f ca="1">SUMIF($J$5:$J$456,J488,$K$5:M56)</f>
        <v>0</v>
      </c>
      <c r="L488" s="134">
        <f t="shared" si="45"/>
        <v>0</v>
      </c>
      <c r="M488" s="134">
        <f t="shared" si="46"/>
        <v>0</v>
      </c>
      <c r="O488" s="159"/>
      <c r="P488" s="160"/>
      <c r="Q488" s="161"/>
      <c r="S488" s="25"/>
      <c r="T488" s="25"/>
      <c r="U488" s="25"/>
      <c r="V488" s="25"/>
      <c r="W488" s="25"/>
      <c r="X488" s="25"/>
      <c r="AE488" s="25">
        <v>1</v>
      </c>
      <c r="AF488" s="17" t="str">
        <f t="shared" si="47"/>
        <v/>
      </c>
    </row>
    <row r="489" spans="1:32" ht="22.5" customHeight="1" x14ac:dyDescent="0.3">
      <c r="A489" s="25"/>
      <c r="J489" s="120" t="s">
        <v>112</v>
      </c>
      <c r="K489" s="40">
        <f ca="1">SUMIF($J$5:$J$456,J489,$K$5:M57)</f>
        <v>0</v>
      </c>
      <c r="L489" s="134">
        <f t="shared" si="45"/>
        <v>0</v>
      </c>
      <c r="M489" s="134">
        <f t="shared" si="46"/>
        <v>0</v>
      </c>
      <c r="N489" s="154"/>
      <c r="O489" s="158"/>
      <c r="S489" s="25"/>
      <c r="T489" s="25"/>
      <c r="U489" s="25"/>
      <c r="V489" s="25"/>
      <c r="W489" s="25"/>
      <c r="X489" s="25"/>
      <c r="AE489" s="25">
        <v>1</v>
      </c>
      <c r="AF489" s="17" t="str">
        <f t="shared" si="47"/>
        <v/>
      </c>
    </row>
    <row r="490" spans="1:32" ht="22.5" customHeight="1" x14ac:dyDescent="0.3">
      <c r="A490" s="25"/>
      <c r="J490" s="76" t="s">
        <v>113</v>
      </c>
      <c r="K490" s="40">
        <f ca="1">SUMIF($J$5:$J$456,J490,$K$5:M58)</f>
        <v>0</v>
      </c>
      <c r="L490" s="134">
        <f t="shared" si="45"/>
        <v>0</v>
      </c>
      <c r="M490" s="134">
        <f t="shared" si="46"/>
        <v>0</v>
      </c>
      <c r="N490" s="154"/>
      <c r="O490" s="158"/>
      <c r="S490" s="25"/>
      <c r="T490" s="25"/>
      <c r="U490" s="25"/>
      <c r="V490" s="25"/>
      <c r="W490" s="25"/>
      <c r="X490" s="25"/>
      <c r="AE490" s="25">
        <v>1</v>
      </c>
      <c r="AF490" s="17" t="str">
        <f t="shared" si="47"/>
        <v/>
      </c>
    </row>
    <row r="491" spans="1:32" ht="22.5" customHeight="1" x14ac:dyDescent="0.3">
      <c r="A491" s="25"/>
      <c r="J491" s="76" t="s">
        <v>114</v>
      </c>
      <c r="K491" s="40">
        <f ca="1">SUMIF($J$5:$J$456,J491,$K$5:M59)</f>
        <v>0</v>
      </c>
      <c r="L491" s="134">
        <f t="shared" si="45"/>
        <v>0</v>
      </c>
      <c r="M491" s="134">
        <f t="shared" si="46"/>
        <v>0</v>
      </c>
      <c r="N491" s="154"/>
      <c r="O491" s="158"/>
      <c r="S491" s="25"/>
      <c r="T491" s="25"/>
      <c r="U491" s="25"/>
      <c r="V491" s="25"/>
      <c r="W491" s="25"/>
      <c r="X491" s="25"/>
      <c r="AE491" s="25">
        <v>1</v>
      </c>
      <c r="AF491" s="17" t="str">
        <f t="shared" si="47"/>
        <v/>
      </c>
    </row>
    <row r="492" spans="1:32" ht="22.5" customHeight="1" x14ac:dyDescent="0.3">
      <c r="A492" s="25"/>
      <c r="H492" s="158">
        <f ca="1">'Bế '!K516</f>
        <v>0</v>
      </c>
      <c r="J492" s="120" t="s">
        <v>115</v>
      </c>
      <c r="K492" s="40">
        <f ca="1">SUMIF($J$5:$J$456,J492,$K$5:M62)</f>
        <v>0</v>
      </c>
      <c r="L492" s="134">
        <f t="shared" si="45"/>
        <v>0</v>
      </c>
      <c r="M492" s="134">
        <f t="shared" si="46"/>
        <v>0</v>
      </c>
      <c r="N492" s="154">
        <f>[3]H.Giang!$I$79</f>
        <v>1124400</v>
      </c>
      <c r="O492" s="158">
        <f ca="1">+N492-K493-K495-K492-K496</f>
        <v>1045960</v>
      </c>
      <c r="P492" s="29" t="e">
        <f ca="1">+L492/K492*100</f>
        <v>#DIV/0!</v>
      </c>
      <c r="Q492" s="168"/>
      <c r="R492" s="169"/>
      <c r="S492" s="25"/>
      <c r="T492" s="25"/>
      <c r="U492" s="25"/>
      <c r="V492" s="25"/>
      <c r="W492" s="25"/>
      <c r="X492" s="25"/>
      <c r="AE492" s="25">
        <v>1</v>
      </c>
      <c r="AF492" s="17" t="str">
        <f t="shared" si="47"/>
        <v/>
      </c>
    </row>
    <row r="493" spans="1:32" ht="22.5" customHeight="1" x14ac:dyDescent="0.3">
      <c r="A493" s="25"/>
      <c r="J493" s="170" t="s">
        <v>116</v>
      </c>
      <c r="K493" s="40">
        <f ca="1">SUMIF($J$5:$J$456,J493,$K$5:M63)</f>
        <v>0</v>
      </c>
      <c r="L493" s="134">
        <f t="shared" si="45"/>
        <v>0</v>
      </c>
      <c r="M493" s="134">
        <f t="shared" si="46"/>
        <v>0</v>
      </c>
      <c r="N493" s="154"/>
      <c r="O493" s="154"/>
      <c r="Q493" s="168"/>
      <c r="R493" s="169"/>
      <c r="S493" s="25"/>
      <c r="T493" s="25"/>
      <c r="U493" s="25"/>
      <c r="V493" s="25"/>
      <c r="W493" s="25"/>
      <c r="X493" s="25"/>
      <c r="AE493" s="25">
        <v>1</v>
      </c>
      <c r="AF493" s="17" t="str">
        <f t="shared" si="47"/>
        <v/>
      </c>
    </row>
    <row r="494" spans="1:32" ht="22.5" customHeight="1" x14ac:dyDescent="0.3">
      <c r="A494" s="25"/>
      <c r="J494" s="170" t="s">
        <v>117</v>
      </c>
      <c r="K494" s="40">
        <f ca="1">SUMIF($J$5:$J$456,J494,$K$5:M64)</f>
        <v>0</v>
      </c>
      <c r="L494" s="134">
        <f t="shared" si="45"/>
        <v>0</v>
      </c>
      <c r="M494" s="134">
        <f t="shared" si="46"/>
        <v>0</v>
      </c>
      <c r="N494" s="154"/>
      <c r="O494" s="154"/>
      <c r="Q494" s="168"/>
      <c r="R494" s="169"/>
      <c r="S494" s="25"/>
      <c r="T494" s="25"/>
      <c r="U494" s="25"/>
      <c r="V494" s="25"/>
      <c r="W494" s="25"/>
      <c r="X494" s="25"/>
      <c r="AE494" s="25">
        <v>1</v>
      </c>
      <c r="AF494" s="17" t="str">
        <f t="shared" si="47"/>
        <v/>
      </c>
    </row>
    <row r="495" spans="1:32" x14ac:dyDescent="0.3">
      <c r="A495" s="25"/>
      <c r="E495" s="158"/>
      <c r="J495" s="39" t="s">
        <v>118</v>
      </c>
      <c r="K495" s="40">
        <f ca="1">SUMIF($J$5:$J$456,J495,$K$5:M64)</f>
        <v>0</v>
      </c>
      <c r="L495" s="134">
        <f t="shared" si="45"/>
        <v>0</v>
      </c>
      <c r="M495" s="134">
        <f t="shared" si="46"/>
        <v>0</v>
      </c>
      <c r="N495" s="154"/>
      <c r="S495" s="25"/>
      <c r="T495" s="25"/>
      <c r="U495" s="25"/>
      <c r="V495" s="25"/>
      <c r="W495" s="25"/>
      <c r="X495" s="25"/>
      <c r="AE495" s="25">
        <v>1</v>
      </c>
      <c r="AF495" s="17" t="str">
        <f t="shared" si="47"/>
        <v/>
      </c>
    </row>
    <row r="496" spans="1:32" x14ac:dyDescent="0.3">
      <c r="A496" s="25"/>
      <c r="J496" s="39" t="s">
        <v>75</v>
      </c>
      <c r="K496" s="40">
        <f ca="1">SUMIF($J$5:$J$456,J496,$K$5:M65)</f>
        <v>78440</v>
      </c>
      <c r="L496" s="134">
        <f t="shared" si="45"/>
        <v>112</v>
      </c>
      <c r="M496" s="134">
        <f t="shared" si="46"/>
        <v>57</v>
      </c>
      <c r="N496" s="25">
        <v>23265</v>
      </c>
      <c r="O496" s="25">
        <v>70</v>
      </c>
      <c r="P496" s="25">
        <v>15</v>
      </c>
      <c r="S496" s="25"/>
      <c r="T496" s="25"/>
      <c r="U496" s="25"/>
      <c r="V496" s="25"/>
      <c r="W496" s="25"/>
      <c r="X496" s="25"/>
      <c r="AE496" s="25">
        <v>1</v>
      </c>
      <c r="AF496" s="17" t="str">
        <f t="shared" si="47"/>
        <v/>
      </c>
    </row>
    <row r="497" spans="1:32" x14ac:dyDescent="0.3">
      <c r="A497" s="25"/>
      <c r="J497" s="39" t="s">
        <v>119</v>
      </c>
      <c r="K497" s="40">
        <f ca="1">SUMIF($J$5:$J$456,J497,$K$5:M67)</f>
        <v>0</v>
      </c>
      <c r="L497" s="134">
        <f t="shared" si="45"/>
        <v>0</v>
      </c>
      <c r="M497" s="134">
        <f t="shared" si="46"/>
        <v>0</v>
      </c>
      <c r="N497" s="25">
        <v>23265</v>
      </c>
      <c r="O497" s="25">
        <v>70</v>
      </c>
      <c r="P497" s="25">
        <v>15</v>
      </c>
      <c r="S497" s="25"/>
      <c r="T497" s="25"/>
      <c r="U497" s="25"/>
      <c r="V497" s="25"/>
      <c r="W497" s="25"/>
      <c r="X497" s="25"/>
      <c r="AE497" s="25">
        <v>1</v>
      </c>
      <c r="AF497" s="17" t="str">
        <f t="shared" si="47"/>
        <v/>
      </c>
    </row>
    <row r="498" spans="1:32" x14ac:dyDescent="0.3">
      <c r="A498" s="25"/>
      <c r="J498" s="39" t="s">
        <v>120</v>
      </c>
      <c r="K498" s="40">
        <f ca="1">SUMIF($J$5:$J$456,J498,$K$5:M67)</f>
        <v>0</v>
      </c>
      <c r="L498" s="134">
        <f t="shared" si="45"/>
        <v>0</v>
      </c>
      <c r="M498" s="134">
        <f t="shared" si="46"/>
        <v>0</v>
      </c>
      <c r="S498" s="25"/>
      <c r="T498" s="25"/>
      <c r="U498" s="25"/>
      <c r="V498" s="25"/>
      <c r="W498" s="25"/>
      <c r="X498" s="25"/>
      <c r="AE498" s="25">
        <v>1</v>
      </c>
      <c r="AF498" s="17" t="str">
        <f t="shared" si="47"/>
        <v/>
      </c>
    </row>
    <row r="499" spans="1:32" x14ac:dyDescent="0.3">
      <c r="A499" s="25"/>
      <c r="J499" s="39" t="s">
        <v>121</v>
      </c>
      <c r="K499" s="40">
        <f ca="1">SUMIF($J$5:$J$456,J499,$K$5:M67)</f>
        <v>0</v>
      </c>
      <c r="L499" s="134">
        <f t="shared" si="45"/>
        <v>0</v>
      </c>
      <c r="M499" s="134">
        <f t="shared" si="46"/>
        <v>0</v>
      </c>
      <c r="O499" s="158"/>
      <c r="S499" s="25"/>
      <c r="T499" s="25"/>
      <c r="U499" s="25"/>
      <c r="V499" s="25"/>
      <c r="W499" s="25"/>
      <c r="X499" s="25"/>
      <c r="AE499" s="25">
        <v>1</v>
      </c>
      <c r="AF499" s="17" t="str">
        <f t="shared" si="47"/>
        <v/>
      </c>
    </row>
    <row r="500" spans="1:32" x14ac:dyDescent="0.3">
      <c r="A500" s="25"/>
      <c r="J500" s="39" t="s">
        <v>39</v>
      </c>
      <c r="K500" s="40">
        <f ca="1">SUMIF($J$5:$J$456,J500,$K$5:M68)</f>
        <v>15343</v>
      </c>
      <c r="L500" s="134">
        <f t="shared" si="45"/>
        <v>99</v>
      </c>
      <c r="M500" s="134">
        <f t="shared" si="46"/>
        <v>4</v>
      </c>
      <c r="S500" s="25"/>
      <c r="T500" s="25"/>
      <c r="U500" s="25"/>
      <c r="V500" s="25"/>
      <c r="W500" s="25"/>
      <c r="X500" s="25"/>
      <c r="AE500" s="25">
        <v>1</v>
      </c>
      <c r="AF500" s="17" t="str">
        <f t="shared" si="47"/>
        <v/>
      </c>
    </row>
    <row r="501" spans="1:32" x14ac:dyDescent="0.3">
      <c r="A501" s="25"/>
      <c r="J501" s="39" t="s">
        <v>40</v>
      </c>
      <c r="K501" s="40">
        <f ca="1">SUMIF($J$5:$J$456,J501,$K$5:M68)</f>
        <v>15340</v>
      </c>
      <c r="L501" s="134">
        <f t="shared" si="45"/>
        <v>8</v>
      </c>
      <c r="M501" s="134">
        <f t="shared" si="46"/>
        <v>6</v>
      </c>
      <c r="S501" s="25"/>
      <c r="T501" s="25"/>
      <c r="U501" s="25"/>
      <c r="V501" s="25"/>
      <c r="W501" s="25"/>
      <c r="X501" s="25"/>
      <c r="AE501" s="25">
        <v>1</v>
      </c>
      <c r="AF501" s="17" t="str">
        <f t="shared" si="47"/>
        <v/>
      </c>
    </row>
    <row r="502" spans="1:32" x14ac:dyDescent="0.3">
      <c r="A502" s="25"/>
      <c r="J502" s="39" t="s">
        <v>64</v>
      </c>
      <c r="K502" s="40">
        <f ca="1">SUMIF($J$5:$J$456,J502,$K$5:M68)</f>
        <v>17780</v>
      </c>
      <c r="L502" s="134">
        <f t="shared" si="45"/>
        <v>50</v>
      </c>
      <c r="M502" s="134">
        <f t="shared" si="46"/>
        <v>0</v>
      </c>
      <c r="O502" s="25">
        <f>51360-51500</f>
        <v>-140</v>
      </c>
      <c r="S502" s="25"/>
      <c r="T502" s="25"/>
      <c r="U502" s="25"/>
      <c r="V502" s="25"/>
      <c r="W502" s="25"/>
      <c r="X502" s="25"/>
      <c r="AE502" s="25">
        <v>1</v>
      </c>
      <c r="AF502" s="17" t="str">
        <f t="shared" si="47"/>
        <v/>
      </c>
    </row>
    <row r="503" spans="1:32" x14ac:dyDescent="0.3">
      <c r="A503" s="25"/>
      <c r="J503" s="39" t="s">
        <v>26</v>
      </c>
      <c r="K503" s="40">
        <f ca="1">SUMIF($J$5:$J$456,J503,$K$5:M68)</f>
        <v>32420</v>
      </c>
      <c r="L503" s="134">
        <f t="shared" si="45"/>
        <v>29</v>
      </c>
      <c r="M503" s="134">
        <f t="shared" si="46"/>
        <v>0</v>
      </c>
      <c r="O503" s="25">
        <f>O502/51500*100</f>
        <v>-0.27184466019417475</v>
      </c>
      <c r="S503" s="25"/>
      <c r="T503" s="25"/>
      <c r="U503" s="25"/>
      <c r="V503" s="25"/>
      <c r="W503" s="25"/>
      <c r="X503" s="25"/>
      <c r="AE503" s="25">
        <v>1</v>
      </c>
      <c r="AF503" s="17" t="str">
        <f t="shared" si="47"/>
        <v/>
      </c>
    </row>
    <row r="504" spans="1:32" x14ac:dyDescent="0.3">
      <c r="A504" s="25"/>
      <c r="F504" s="171">
        <v>46915</v>
      </c>
      <c r="G504" s="154">
        <v>20600</v>
      </c>
      <c r="J504" s="39" t="s">
        <v>122</v>
      </c>
      <c r="K504" s="40">
        <f ca="1">SUMIF($J$5:$J$456,J504,$K$5:M69)</f>
        <v>0</v>
      </c>
      <c r="L504" s="134">
        <f t="shared" si="45"/>
        <v>0</v>
      </c>
      <c r="M504" s="134">
        <f t="shared" si="46"/>
        <v>0</v>
      </c>
      <c r="S504" s="25"/>
      <c r="T504" s="25"/>
      <c r="U504" s="25"/>
      <c r="V504" s="25"/>
      <c r="W504" s="25"/>
      <c r="X504" s="25"/>
      <c r="AE504" s="25">
        <v>1</v>
      </c>
      <c r="AF504" s="17" t="str">
        <f t="shared" si="47"/>
        <v/>
      </c>
    </row>
    <row r="505" spans="1:32" x14ac:dyDescent="0.3">
      <c r="A505" s="25"/>
      <c r="E505" s="154"/>
      <c r="J505" s="39" t="s">
        <v>89</v>
      </c>
      <c r="K505" s="40">
        <f ca="1">SUMIF($J$5:$J$456,J505,$K$5:M69)</f>
        <v>0</v>
      </c>
      <c r="L505" s="134">
        <f t="shared" si="45"/>
        <v>0</v>
      </c>
      <c r="M505" s="134">
        <f t="shared" si="46"/>
        <v>0</v>
      </c>
      <c r="S505" s="25"/>
      <c r="T505" s="25"/>
      <c r="U505" s="25"/>
      <c r="V505" s="25"/>
      <c r="W505" s="25"/>
      <c r="X505" s="25"/>
      <c r="AE505" s="25">
        <v>1</v>
      </c>
      <c r="AF505" s="17" t="str">
        <f t="shared" si="47"/>
        <v/>
      </c>
    </row>
    <row r="506" spans="1:32" x14ac:dyDescent="0.3">
      <c r="A506" s="25"/>
      <c r="E506" s="154"/>
      <c r="J506" s="37" t="s">
        <v>123</v>
      </c>
      <c r="K506" s="40">
        <f ca="1">SUMIF($J$5:$J$456,J506,$K$5:M69)</f>
        <v>0</v>
      </c>
      <c r="L506" s="134">
        <f t="shared" si="45"/>
        <v>0</v>
      </c>
      <c r="M506" s="134">
        <f t="shared" si="46"/>
        <v>0</v>
      </c>
      <c r="S506" s="25"/>
      <c r="T506" s="25"/>
      <c r="U506" s="25"/>
      <c r="V506" s="25"/>
      <c r="W506" s="25"/>
      <c r="X506" s="25"/>
      <c r="AE506" s="25">
        <v>1</v>
      </c>
      <c r="AF506" s="17" t="str">
        <f t="shared" si="47"/>
        <v/>
      </c>
    </row>
    <row r="507" spans="1:32" x14ac:dyDescent="0.3">
      <c r="A507" s="25"/>
      <c r="E507" s="154"/>
      <c r="J507" s="37" t="s">
        <v>124</v>
      </c>
      <c r="K507" s="40">
        <f ca="1">SUMIF($J$5:$J$456,J507,$K$5:M70)</f>
        <v>0</v>
      </c>
      <c r="L507" s="134">
        <f t="shared" si="45"/>
        <v>0</v>
      </c>
      <c r="M507" s="134">
        <f t="shared" si="46"/>
        <v>0</v>
      </c>
      <c r="S507" s="25"/>
      <c r="T507" s="25"/>
      <c r="U507" s="25"/>
      <c r="V507" s="25"/>
      <c r="W507" s="25"/>
      <c r="X507" s="25"/>
      <c r="AE507" s="25">
        <v>1</v>
      </c>
      <c r="AF507" s="17" t="str">
        <f>+IF(A507&lt;&gt;0,A507,IF(AND(A507="",AE507=1),"",AF506))</f>
        <v/>
      </c>
    </row>
    <row r="508" spans="1:32" x14ac:dyDescent="0.3">
      <c r="A508" s="25"/>
      <c r="E508" s="154"/>
      <c r="J508" s="37" t="s">
        <v>125</v>
      </c>
      <c r="K508" s="40">
        <f ca="1">SUMIF($J$5:$J$456,J508,$K$5:M70)</f>
        <v>0</v>
      </c>
      <c r="L508" s="134">
        <f t="shared" si="45"/>
        <v>0</v>
      </c>
      <c r="M508" s="134">
        <f t="shared" si="46"/>
        <v>0</v>
      </c>
      <c r="P508" s="25">
        <f>6300+3738</f>
        <v>10038</v>
      </c>
      <c r="Q508" s="25">
        <v>22</v>
      </c>
      <c r="R508" s="25">
        <v>9</v>
      </c>
      <c r="S508" s="25"/>
      <c r="T508" s="25"/>
      <c r="U508" s="25"/>
      <c r="V508" s="25"/>
      <c r="W508" s="25"/>
      <c r="X508" s="25"/>
      <c r="AE508" s="25">
        <v>1</v>
      </c>
      <c r="AF508" s="17" t="str">
        <f>+IF(A508&lt;&gt;0,A508,IF(AND(A508="",AE508=1),"",AF506))</f>
        <v/>
      </c>
    </row>
    <row r="509" spans="1:32" x14ac:dyDescent="0.3">
      <c r="A509" s="25"/>
      <c r="E509" s="154"/>
      <c r="J509" s="37" t="s">
        <v>126</v>
      </c>
      <c r="K509" s="40">
        <f ca="1">SUMIF($J$5:$J$456,J509,$K$5:M71)</f>
        <v>0</v>
      </c>
      <c r="L509" s="134">
        <f t="shared" si="45"/>
        <v>0</v>
      </c>
      <c r="M509" s="134">
        <f t="shared" si="46"/>
        <v>0</v>
      </c>
      <c r="Q509" s="25"/>
      <c r="S509" s="25"/>
      <c r="T509" s="25"/>
      <c r="U509" s="25"/>
      <c r="V509" s="25"/>
      <c r="W509" s="25"/>
      <c r="X509" s="25"/>
      <c r="AE509" s="25">
        <v>1</v>
      </c>
      <c r="AF509" s="17" t="str">
        <f t="shared" si="47"/>
        <v/>
      </c>
    </row>
    <row r="510" spans="1:32" x14ac:dyDescent="0.3">
      <c r="A510" s="25"/>
      <c r="E510" s="154"/>
      <c r="J510" s="37" t="s">
        <v>127</v>
      </c>
      <c r="K510" s="40">
        <f ca="1">SUMIF($J$5:$J$456,J510,$K$5:M72)</f>
        <v>0</v>
      </c>
      <c r="L510" s="134">
        <f t="shared" si="45"/>
        <v>0</v>
      </c>
      <c r="M510" s="134">
        <f t="shared" si="46"/>
        <v>0</v>
      </c>
      <c r="Q510" s="25"/>
      <c r="S510" s="25"/>
      <c r="T510" s="25"/>
      <c r="U510" s="25"/>
      <c r="V510" s="25"/>
      <c r="W510" s="25"/>
      <c r="X510" s="25"/>
      <c r="AE510" s="25">
        <v>1</v>
      </c>
      <c r="AF510" s="17" t="str">
        <f t="shared" si="47"/>
        <v/>
      </c>
    </row>
    <row r="511" spans="1:32" x14ac:dyDescent="0.3">
      <c r="A511" s="25"/>
      <c r="J511" s="37" t="s">
        <v>53</v>
      </c>
      <c r="K511" s="40">
        <f ca="1">SUMIF($J$5:$J$456,J511,$K$5:M73)</f>
        <v>208845</v>
      </c>
      <c r="L511" s="134">
        <f t="shared" si="45"/>
        <v>91</v>
      </c>
      <c r="M511" s="134">
        <f t="shared" si="46"/>
        <v>80</v>
      </c>
      <c r="N511" s="154">
        <f>14520/2</f>
        <v>7260</v>
      </c>
      <c r="Q511" s="25"/>
      <c r="S511" s="25"/>
      <c r="T511" s="25"/>
      <c r="U511" s="25"/>
      <c r="V511" s="25"/>
      <c r="W511" s="25"/>
      <c r="X511" s="25"/>
      <c r="AE511" s="25">
        <v>1</v>
      </c>
      <c r="AF511" s="17" t="str">
        <f t="shared" si="47"/>
        <v/>
      </c>
    </row>
    <row r="512" spans="1:32" x14ac:dyDescent="0.3">
      <c r="A512" s="25"/>
      <c r="J512" s="37" t="s">
        <v>128</v>
      </c>
      <c r="K512" s="40">
        <f ca="1">SUMIF($J$5:$J$456,J512,$K$5:M73)</f>
        <v>0</v>
      </c>
      <c r="L512" s="134">
        <f t="shared" si="45"/>
        <v>0</v>
      </c>
      <c r="M512" s="134">
        <f t="shared" si="46"/>
        <v>0</v>
      </c>
      <c r="N512" s="154"/>
      <c r="Q512" s="25"/>
      <c r="S512" s="25"/>
      <c r="T512" s="25"/>
      <c r="U512" s="25"/>
      <c r="V512" s="25"/>
      <c r="W512" s="25"/>
      <c r="X512" s="25"/>
      <c r="AE512" s="25">
        <v>1</v>
      </c>
      <c r="AF512" s="17" t="str">
        <f t="shared" si="47"/>
        <v/>
      </c>
    </row>
    <row r="513" spans="1:32" x14ac:dyDescent="0.3">
      <c r="A513" s="25"/>
      <c r="J513" s="37" t="s">
        <v>129</v>
      </c>
      <c r="K513" s="40">
        <f ca="1">SUMIF($J$5:$J$456,J513,$K$5:M74)</f>
        <v>0</v>
      </c>
      <c r="L513" s="134">
        <f t="shared" si="45"/>
        <v>0</v>
      </c>
      <c r="M513" s="134">
        <f t="shared" si="46"/>
        <v>0</v>
      </c>
      <c r="N513" s="154"/>
      <c r="Q513" s="25"/>
      <c r="S513" s="25"/>
      <c r="T513" s="25"/>
      <c r="U513" s="25"/>
      <c r="V513" s="25"/>
      <c r="W513" s="25"/>
      <c r="X513" s="25"/>
      <c r="AE513" s="25">
        <v>1</v>
      </c>
      <c r="AF513" s="17" t="str">
        <f t="shared" si="47"/>
        <v/>
      </c>
    </row>
    <row r="514" spans="1:32" x14ac:dyDescent="0.3">
      <c r="A514" s="25"/>
      <c r="J514" s="37" t="s">
        <v>130</v>
      </c>
      <c r="K514" s="40">
        <f ca="1">SUMIF($J$5:$J$456,J514,$K$5:M77)</f>
        <v>0</v>
      </c>
      <c r="L514" s="134">
        <f t="shared" si="45"/>
        <v>0</v>
      </c>
      <c r="M514" s="134">
        <f t="shared" si="46"/>
        <v>0</v>
      </c>
      <c r="N514" s="154"/>
      <c r="Q514" s="25"/>
      <c r="S514" s="25"/>
      <c r="T514" s="25"/>
      <c r="U514" s="25"/>
      <c r="V514" s="25"/>
      <c r="W514" s="25"/>
      <c r="X514" s="25"/>
      <c r="AE514" s="25">
        <v>1</v>
      </c>
      <c r="AF514" s="17" t="str">
        <f t="shared" si="47"/>
        <v/>
      </c>
    </row>
    <row r="515" spans="1:32" x14ac:dyDescent="0.3">
      <c r="A515" s="25"/>
      <c r="J515" s="37" t="s">
        <v>131</v>
      </c>
      <c r="K515" s="40">
        <f ca="1">SUMIF($J$5:$J$456,J515,$K$5:M81)</f>
        <v>0</v>
      </c>
      <c r="L515" s="134">
        <f t="shared" si="45"/>
        <v>0</v>
      </c>
      <c r="M515" s="134">
        <f t="shared" si="46"/>
        <v>0</v>
      </c>
      <c r="N515" s="154"/>
      <c r="Q515" s="25"/>
      <c r="S515" s="25"/>
      <c r="T515" s="25"/>
      <c r="U515" s="25"/>
      <c r="V515" s="25"/>
      <c r="W515" s="25"/>
      <c r="X515" s="25"/>
      <c r="AE515" s="25">
        <v>1</v>
      </c>
      <c r="AF515" s="17" t="str">
        <f t="shared" si="47"/>
        <v/>
      </c>
    </row>
    <row r="516" spans="1:32" x14ac:dyDescent="0.3">
      <c r="A516" s="25"/>
      <c r="J516" s="39" t="s">
        <v>132</v>
      </c>
      <c r="K516" s="40">
        <f ca="1">SUMIF($J$5:$J$456,J516,$K$5:M81)</f>
        <v>0</v>
      </c>
      <c r="L516" s="134">
        <f t="shared" si="45"/>
        <v>0</v>
      </c>
      <c r="M516" s="134">
        <f t="shared" si="46"/>
        <v>0</v>
      </c>
      <c r="N516" s="154" t="e">
        <f>#REF!-#REF!</f>
        <v>#REF!</v>
      </c>
      <c r="Q516" s="25"/>
      <c r="S516" s="25"/>
      <c r="T516" s="25"/>
      <c r="U516" s="25"/>
      <c r="V516" s="25"/>
      <c r="W516" s="25"/>
      <c r="X516" s="25"/>
      <c r="AE516" s="25">
        <v>1</v>
      </c>
      <c r="AF516" s="17" t="str">
        <f t="shared" si="47"/>
        <v/>
      </c>
    </row>
    <row r="517" spans="1:32" x14ac:dyDescent="0.3">
      <c r="A517" s="25"/>
      <c r="J517" s="39" t="s">
        <v>50</v>
      </c>
      <c r="K517" s="40">
        <f ca="1">SUMIF($J$5:$J$456,J517,$K$5:M82)</f>
        <v>4880</v>
      </c>
      <c r="L517" s="134">
        <f t="shared" si="45"/>
        <v>0</v>
      </c>
      <c r="M517" s="134">
        <f t="shared" si="46"/>
        <v>0</v>
      </c>
      <c r="N517" s="154" t="e">
        <f>#REF!-2610</f>
        <v>#REF!</v>
      </c>
      <c r="Q517" s="25"/>
      <c r="S517" s="25"/>
      <c r="T517" s="25"/>
      <c r="U517" s="25"/>
      <c r="V517" s="25"/>
      <c r="W517" s="25"/>
      <c r="X517" s="25"/>
      <c r="AE517" s="25">
        <v>1</v>
      </c>
      <c r="AF517" s="17" t="str">
        <f t="shared" si="47"/>
        <v/>
      </c>
    </row>
    <row r="518" spans="1:32" x14ac:dyDescent="0.3">
      <c r="A518" s="25"/>
      <c r="J518" s="39" t="s">
        <v>133</v>
      </c>
      <c r="K518" s="40">
        <f ca="1">SUMIF($J$5:$J$456,J518,$K$5:M84)</f>
        <v>0</v>
      </c>
      <c r="L518" s="134">
        <f t="shared" si="45"/>
        <v>0</v>
      </c>
      <c r="M518" s="134">
        <f t="shared" si="46"/>
        <v>0</v>
      </c>
      <c r="N518" s="154" t="e">
        <f>#REF!-2610</f>
        <v>#REF!</v>
      </c>
      <c r="Q518" s="25"/>
      <c r="S518" s="25"/>
      <c r="T518" s="25"/>
      <c r="U518" s="25"/>
      <c r="V518" s="25"/>
      <c r="W518" s="25"/>
      <c r="X518" s="25"/>
      <c r="AE518" s="25">
        <v>1</v>
      </c>
      <c r="AF518" s="17" t="str">
        <f t="shared" si="47"/>
        <v/>
      </c>
    </row>
    <row r="519" spans="1:32" x14ac:dyDescent="0.3">
      <c r="A519" s="25"/>
      <c r="J519" s="39" t="s">
        <v>134</v>
      </c>
      <c r="K519" s="40">
        <f ca="1">SUMIF($J$5:$J$456,J519,$K$5:M87)</f>
        <v>0</v>
      </c>
      <c r="L519" s="134">
        <f t="shared" si="45"/>
        <v>0</v>
      </c>
      <c r="M519" s="134">
        <f t="shared" si="46"/>
        <v>0</v>
      </c>
      <c r="N519" s="154"/>
      <c r="Q519" s="25"/>
      <c r="S519" s="25"/>
      <c r="T519" s="25"/>
      <c r="U519" s="25"/>
      <c r="V519" s="25"/>
      <c r="W519" s="25"/>
      <c r="X519" s="25"/>
      <c r="AE519" s="25">
        <v>1</v>
      </c>
      <c r="AF519" s="17" t="str">
        <f t="shared" si="47"/>
        <v/>
      </c>
    </row>
    <row r="520" spans="1:32" x14ac:dyDescent="0.3">
      <c r="A520" s="25"/>
      <c r="J520" s="39" t="s">
        <v>135</v>
      </c>
      <c r="K520" s="40">
        <f ca="1">SUMIF($J$5:$J$456,J520,$K$5:M87)</f>
        <v>0</v>
      </c>
      <c r="L520" s="134">
        <f t="shared" si="45"/>
        <v>0</v>
      </c>
      <c r="M520" s="134">
        <f t="shared" si="46"/>
        <v>0</v>
      </c>
      <c r="Q520" s="25"/>
      <c r="S520" s="25"/>
      <c r="T520" s="25"/>
      <c r="U520" s="25"/>
      <c r="V520" s="25"/>
      <c r="W520" s="25"/>
      <c r="X520" s="25"/>
      <c r="AE520" s="25">
        <v>1</v>
      </c>
      <c r="AF520" s="17" t="str">
        <f t="shared" si="47"/>
        <v/>
      </c>
    </row>
    <row r="521" spans="1:32" x14ac:dyDescent="0.3">
      <c r="A521" s="25"/>
      <c r="J521" s="39" t="s">
        <v>136</v>
      </c>
      <c r="K521" s="40">
        <f ca="1">SUMIF($J$5:$J$456,J521,$K$5:M87)</f>
        <v>0</v>
      </c>
      <c r="L521" s="134">
        <f t="shared" si="45"/>
        <v>0</v>
      </c>
      <c r="M521" s="134">
        <f t="shared" si="46"/>
        <v>0</v>
      </c>
      <c r="Q521" s="25"/>
      <c r="S521" s="25"/>
      <c r="T521" s="25"/>
      <c r="U521" s="25"/>
      <c r="V521" s="25"/>
      <c r="W521" s="25"/>
      <c r="X521" s="25"/>
      <c r="AE521" s="25">
        <v>1</v>
      </c>
      <c r="AF521" s="17" t="str">
        <f t="shared" si="47"/>
        <v/>
      </c>
    </row>
    <row r="522" spans="1:32" x14ac:dyDescent="0.3">
      <c r="A522" s="25"/>
      <c r="J522" s="39" t="s">
        <v>137</v>
      </c>
      <c r="K522" s="40">
        <f ca="1">SUMIF($J$5:$J$456,J522,$K$5:M87)</f>
        <v>0</v>
      </c>
      <c r="L522" s="134">
        <f t="shared" si="45"/>
        <v>0</v>
      </c>
      <c r="M522" s="134">
        <f t="shared" si="46"/>
        <v>0</v>
      </c>
      <c r="Q522" s="25"/>
      <c r="S522" s="25"/>
      <c r="T522" s="25"/>
      <c r="U522" s="25"/>
      <c r="V522" s="25"/>
      <c r="W522" s="25"/>
      <c r="X522" s="25"/>
      <c r="AE522" s="25">
        <v>1</v>
      </c>
      <c r="AF522" s="17" t="str">
        <f t="shared" si="47"/>
        <v/>
      </c>
    </row>
    <row r="523" spans="1:32" x14ac:dyDescent="0.3">
      <c r="A523" s="25"/>
      <c r="J523" s="39" t="s">
        <v>138</v>
      </c>
      <c r="K523" s="40">
        <f ca="1">SUMIF($J$5:$J$456,J523,$K$5:M87)</f>
        <v>0</v>
      </c>
      <c r="L523" s="134">
        <f t="shared" si="45"/>
        <v>0</v>
      </c>
      <c r="M523" s="134">
        <f t="shared" si="46"/>
        <v>0</v>
      </c>
      <c r="Q523" s="25"/>
      <c r="S523" s="25"/>
      <c r="T523" s="25"/>
      <c r="U523" s="25"/>
      <c r="V523" s="25"/>
      <c r="W523" s="25"/>
      <c r="X523" s="25"/>
      <c r="AE523" s="25">
        <v>1</v>
      </c>
      <c r="AF523" s="17" t="str">
        <f t="shared" si="47"/>
        <v/>
      </c>
    </row>
    <row r="524" spans="1:32" x14ac:dyDescent="0.3">
      <c r="A524" s="25"/>
      <c r="J524" s="39" t="s">
        <v>139</v>
      </c>
      <c r="K524" s="40">
        <f ca="1">SUMIF($J$5:$J$456,J524,$K$5:M88)</f>
        <v>0</v>
      </c>
      <c r="L524" s="134">
        <f t="shared" si="45"/>
        <v>0</v>
      </c>
      <c r="M524" s="134">
        <f t="shared" si="46"/>
        <v>0</v>
      </c>
      <c r="Q524" s="25"/>
      <c r="S524" s="25"/>
      <c r="T524" s="25"/>
      <c r="U524" s="25"/>
      <c r="V524" s="25"/>
      <c r="W524" s="25"/>
      <c r="X524" s="25"/>
      <c r="AE524" s="25">
        <v>1</v>
      </c>
      <c r="AF524" s="17" t="str">
        <f t="shared" si="47"/>
        <v/>
      </c>
    </row>
    <row r="525" spans="1:32" x14ac:dyDescent="0.3">
      <c r="A525" s="25"/>
      <c r="J525" s="39" t="s">
        <v>140</v>
      </c>
      <c r="K525" s="40">
        <f ca="1">SUMIF($J$5:$J$456,J525,$K$5:M90)</f>
        <v>0</v>
      </c>
      <c r="L525" s="134">
        <f t="shared" si="45"/>
        <v>0</v>
      </c>
      <c r="M525" s="134">
        <f t="shared" si="46"/>
        <v>0</v>
      </c>
      <c r="Q525" s="25"/>
      <c r="S525" s="25"/>
      <c r="T525" s="25"/>
      <c r="U525" s="25"/>
      <c r="V525" s="25"/>
      <c r="W525" s="25"/>
      <c r="X525" s="25"/>
      <c r="AE525" s="25">
        <v>1</v>
      </c>
      <c r="AF525" s="17" t="str">
        <f t="shared" si="47"/>
        <v/>
      </c>
    </row>
    <row r="526" spans="1:32" x14ac:dyDescent="0.3">
      <c r="A526" s="25"/>
      <c r="G526" s="25"/>
      <c r="J526" s="39" t="s">
        <v>141</v>
      </c>
      <c r="K526" s="40">
        <f ca="1">SUMIF($J$5:$J$456,J526,$K$5:M92)</f>
        <v>0</v>
      </c>
      <c r="L526" s="134">
        <f t="shared" ref="L526:L578" si="48">SUMIF($J$5:$J$456,J526,$L$5:$L$456)</f>
        <v>0</v>
      </c>
      <c r="M526" s="134">
        <f t="shared" ref="M526:M578" si="49">SUMIF($J$5:$J$456,J526,$M$5:$M$456)</f>
        <v>0</v>
      </c>
      <c r="Q526" s="25"/>
      <c r="S526" s="25"/>
      <c r="T526" s="25"/>
      <c r="U526" s="25"/>
      <c r="V526" s="25"/>
      <c r="W526" s="25"/>
      <c r="X526" s="25"/>
      <c r="AE526" s="25">
        <v>1</v>
      </c>
      <c r="AF526" s="17" t="str">
        <f t="shared" si="47"/>
        <v/>
      </c>
    </row>
    <row r="527" spans="1:32" x14ac:dyDescent="0.3">
      <c r="A527" s="25"/>
      <c r="G527" s="25"/>
      <c r="J527" s="39" t="s">
        <v>142</v>
      </c>
      <c r="K527" s="40">
        <f ca="1">SUMIF($J$5:$J$456,J527,$K$5:M93)</f>
        <v>0</v>
      </c>
      <c r="L527" s="134">
        <f t="shared" si="48"/>
        <v>0</v>
      </c>
      <c r="M527" s="134">
        <f t="shared" si="49"/>
        <v>0</v>
      </c>
      <c r="Q527" s="25"/>
      <c r="S527" s="25"/>
      <c r="T527" s="25"/>
      <c r="U527" s="25"/>
      <c r="V527" s="25"/>
      <c r="W527" s="25"/>
      <c r="X527" s="25"/>
      <c r="AE527" s="25">
        <v>1</v>
      </c>
      <c r="AF527" s="17" t="str">
        <f t="shared" si="47"/>
        <v/>
      </c>
    </row>
    <row r="528" spans="1:32" x14ac:dyDescent="0.3">
      <c r="A528" s="25"/>
      <c r="G528" s="25"/>
      <c r="J528" s="39" t="s">
        <v>143</v>
      </c>
      <c r="K528" s="40">
        <f ca="1">SUMIF($J$5:$J$456,J528,$K$5:M94)</f>
        <v>0</v>
      </c>
      <c r="L528" s="134">
        <f t="shared" si="48"/>
        <v>0</v>
      </c>
      <c r="M528" s="134">
        <f t="shared" si="49"/>
        <v>0</v>
      </c>
      <c r="Q528" s="25"/>
      <c r="S528" s="25"/>
      <c r="T528" s="25"/>
      <c r="U528" s="25"/>
      <c r="V528" s="25"/>
      <c r="W528" s="25"/>
      <c r="X528" s="25"/>
      <c r="AE528" s="25">
        <v>1</v>
      </c>
      <c r="AF528" s="17" t="str">
        <f t="shared" si="47"/>
        <v/>
      </c>
    </row>
    <row r="529" spans="1:32" x14ac:dyDescent="0.3">
      <c r="J529" s="39" t="s">
        <v>144</v>
      </c>
      <c r="K529" s="40">
        <f ca="1">SUMIF($J$5:$J$456,J529,$K$5:M95)</f>
        <v>0</v>
      </c>
      <c r="L529" s="134">
        <f t="shared" si="48"/>
        <v>0</v>
      </c>
      <c r="M529" s="134">
        <f t="shared" si="49"/>
        <v>0</v>
      </c>
      <c r="AE529" s="25">
        <v>1</v>
      </c>
      <c r="AF529" s="17" t="str">
        <f t="shared" si="47"/>
        <v/>
      </c>
    </row>
    <row r="530" spans="1:32" x14ac:dyDescent="0.3">
      <c r="J530" s="39" t="s">
        <v>145</v>
      </c>
      <c r="K530" s="40">
        <f ca="1">SUMIF($J$5:$J$456,J530,$K$5:M96)</f>
        <v>0</v>
      </c>
      <c r="L530" s="134">
        <f t="shared" si="48"/>
        <v>0</v>
      </c>
      <c r="M530" s="134">
        <f t="shared" si="49"/>
        <v>0</v>
      </c>
      <c r="AE530" s="25">
        <v>1</v>
      </c>
      <c r="AF530" s="17" t="str">
        <f t="shared" si="47"/>
        <v/>
      </c>
    </row>
    <row r="531" spans="1:32" x14ac:dyDescent="0.3">
      <c r="J531" s="39" t="s">
        <v>146</v>
      </c>
      <c r="K531" s="40">
        <f ca="1">SUMIF($J$5:$J$456,J531,$K$5:M97)</f>
        <v>0</v>
      </c>
      <c r="L531" s="134">
        <f t="shared" si="48"/>
        <v>0</v>
      </c>
      <c r="M531" s="134">
        <f t="shared" si="49"/>
        <v>0</v>
      </c>
      <c r="AE531" s="25">
        <v>1</v>
      </c>
      <c r="AF531" s="17" t="str">
        <f t="shared" si="47"/>
        <v/>
      </c>
    </row>
    <row r="532" spans="1:32" x14ac:dyDescent="0.3">
      <c r="J532" s="39" t="s">
        <v>147</v>
      </c>
      <c r="K532" s="40">
        <f ca="1">SUMIF($J$5:$J$456,J532,$K$5:M98)</f>
        <v>0</v>
      </c>
      <c r="L532" s="134">
        <f t="shared" si="48"/>
        <v>0</v>
      </c>
      <c r="M532" s="134">
        <f t="shared" si="49"/>
        <v>0</v>
      </c>
      <c r="AE532" s="25">
        <v>1</v>
      </c>
      <c r="AF532" s="17" t="str">
        <f t="shared" si="47"/>
        <v/>
      </c>
    </row>
    <row r="533" spans="1:32" x14ac:dyDescent="0.3">
      <c r="J533" s="37" t="s">
        <v>148</v>
      </c>
      <c r="K533" s="40">
        <f ca="1">SUMIF($J$5:$J$456,J533,$K$5:M99)</f>
        <v>0</v>
      </c>
      <c r="L533" s="134">
        <f t="shared" si="48"/>
        <v>0</v>
      </c>
      <c r="M533" s="134">
        <f t="shared" si="49"/>
        <v>0</v>
      </c>
      <c r="AE533" s="25">
        <v>1</v>
      </c>
      <c r="AF533" s="17" t="str">
        <f t="shared" ref="AF533:AF562" si="50">+IF(A533&lt;&gt;0,A533,IF(AND(A533="",AE533=1),"",AF532))</f>
        <v/>
      </c>
    </row>
    <row r="534" spans="1:32" x14ac:dyDescent="0.3">
      <c r="J534" s="37" t="s">
        <v>149</v>
      </c>
      <c r="K534" s="40">
        <f ca="1">SUMIF($J$5:$J$456,J534,$K$5:M101)</f>
        <v>0</v>
      </c>
      <c r="L534" s="134">
        <f t="shared" si="48"/>
        <v>0</v>
      </c>
      <c r="M534" s="134">
        <f t="shared" si="49"/>
        <v>0</v>
      </c>
      <c r="AE534" s="25">
        <v>1</v>
      </c>
      <c r="AF534" s="17" t="str">
        <f t="shared" si="50"/>
        <v/>
      </c>
    </row>
    <row r="535" spans="1:32" x14ac:dyDescent="0.3">
      <c r="J535" s="37" t="s">
        <v>150</v>
      </c>
      <c r="K535" s="40">
        <f ca="1">SUMIF($J$5:$J$456,J535,$K$5:M102)</f>
        <v>0</v>
      </c>
      <c r="L535" s="134">
        <f t="shared" si="48"/>
        <v>0</v>
      </c>
      <c r="M535" s="134">
        <f t="shared" si="49"/>
        <v>0</v>
      </c>
      <c r="AE535" s="25">
        <v>1</v>
      </c>
      <c r="AF535" s="17" t="str">
        <f t="shared" si="50"/>
        <v/>
      </c>
    </row>
    <row r="536" spans="1:32" x14ac:dyDescent="0.3">
      <c r="J536" s="37" t="s">
        <v>151</v>
      </c>
      <c r="K536" s="40">
        <f ca="1">SUMIF($J$5:$J$456,J536,$K$5:M101)</f>
        <v>0</v>
      </c>
      <c r="L536" s="134">
        <f t="shared" si="48"/>
        <v>0</v>
      </c>
      <c r="M536" s="134">
        <f t="shared" si="49"/>
        <v>0</v>
      </c>
      <c r="AE536" s="25">
        <v>1</v>
      </c>
      <c r="AF536" s="17" t="str">
        <f t="shared" si="50"/>
        <v/>
      </c>
    </row>
    <row r="537" spans="1:32" x14ac:dyDescent="0.3">
      <c r="J537" s="39" t="s">
        <v>152</v>
      </c>
      <c r="K537" s="40">
        <f ca="1">SUMIF($J$5:$J$456,J537,$K$5:M102)</f>
        <v>0</v>
      </c>
      <c r="L537" s="134">
        <f t="shared" si="48"/>
        <v>0</v>
      </c>
      <c r="M537" s="134">
        <f t="shared" si="49"/>
        <v>0</v>
      </c>
      <c r="AE537" s="25">
        <v>1</v>
      </c>
      <c r="AF537" s="17" t="str">
        <f t="shared" si="50"/>
        <v/>
      </c>
    </row>
    <row r="538" spans="1:32" x14ac:dyDescent="0.3">
      <c r="A538" s="25"/>
      <c r="G538" s="25"/>
      <c r="J538" s="39" t="s">
        <v>153</v>
      </c>
      <c r="K538" s="40">
        <f ca="1">SUMIF($J$5:$J$456,J538,$K$5:M103)</f>
        <v>0</v>
      </c>
      <c r="L538" s="134">
        <f t="shared" si="48"/>
        <v>0</v>
      </c>
      <c r="M538" s="134">
        <f t="shared" si="49"/>
        <v>0</v>
      </c>
      <c r="Q538" s="25"/>
      <c r="S538" s="25"/>
      <c r="T538" s="25"/>
      <c r="U538" s="25"/>
      <c r="V538" s="25"/>
      <c r="W538" s="25"/>
      <c r="X538" s="25"/>
      <c r="AE538" s="25">
        <v>1</v>
      </c>
      <c r="AF538" s="17" t="str">
        <f t="shared" si="50"/>
        <v/>
      </c>
    </row>
    <row r="539" spans="1:32" x14ac:dyDescent="0.3">
      <c r="J539" s="170" t="s">
        <v>154</v>
      </c>
      <c r="K539" s="40">
        <f ca="1">SUMIF($J$5:$J$456,J539,$K$5:M104)</f>
        <v>0</v>
      </c>
      <c r="L539" s="134">
        <f t="shared" si="48"/>
        <v>0</v>
      </c>
      <c r="M539" s="134">
        <f t="shared" si="49"/>
        <v>0</v>
      </c>
      <c r="AE539" s="25">
        <v>1</v>
      </c>
      <c r="AF539" s="17" t="str">
        <f t="shared" si="50"/>
        <v/>
      </c>
    </row>
    <row r="540" spans="1:32" x14ac:dyDescent="0.3">
      <c r="J540" s="39" t="s">
        <v>155</v>
      </c>
      <c r="K540" s="40">
        <f ca="1">SUMIF($J$5:$J$456,J540,$K$5:M105)</f>
        <v>0</v>
      </c>
      <c r="L540" s="134">
        <f t="shared" si="48"/>
        <v>0</v>
      </c>
      <c r="M540" s="134">
        <f t="shared" si="49"/>
        <v>0</v>
      </c>
      <c r="AE540" s="25">
        <v>1</v>
      </c>
      <c r="AF540" s="17" t="str">
        <f t="shared" si="50"/>
        <v/>
      </c>
    </row>
    <row r="541" spans="1:32" x14ac:dyDescent="0.3">
      <c r="J541" s="39" t="s">
        <v>156</v>
      </c>
      <c r="K541" s="40">
        <f ca="1">SUMIF($J$5:$J$456,J541,$K$5:M106)</f>
        <v>0</v>
      </c>
      <c r="L541" s="134">
        <f t="shared" si="48"/>
        <v>0</v>
      </c>
      <c r="M541" s="134">
        <f t="shared" si="49"/>
        <v>0</v>
      </c>
      <c r="AE541" s="25">
        <v>1</v>
      </c>
      <c r="AF541" s="17" t="str">
        <f t="shared" si="50"/>
        <v/>
      </c>
    </row>
    <row r="542" spans="1:32" x14ac:dyDescent="0.3">
      <c r="A542" s="172"/>
      <c r="J542" s="39" t="s">
        <v>157</v>
      </c>
      <c r="K542" s="40">
        <f ca="1">SUMIF($J$5:$J$456,J542,$K$5:M107)</f>
        <v>0</v>
      </c>
      <c r="L542" s="134">
        <f t="shared" si="48"/>
        <v>0</v>
      </c>
      <c r="M542" s="134">
        <f t="shared" si="49"/>
        <v>0</v>
      </c>
      <c r="AE542" s="25">
        <v>1</v>
      </c>
      <c r="AF542" s="17" t="str">
        <f t="shared" si="50"/>
        <v/>
      </c>
    </row>
    <row r="543" spans="1:32" x14ac:dyDescent="0.3">
      <c r="A543" s="172"/>
      <c r="J543" s="39" t="s">
        <v>158</v>
      </c>
      <c r="K543" s="40">
        <f ca="1">SUMIF($J$5:$J$456,J543,$K$5:M108)</f>
        <v>0</v>
      </c>
      <c r="L543" s="134">
        <f t="shared" si="48"/>
        <v>0</v>
      </c>
      <c r="M543" s="134">
        <f t="shared" si="49"/>
        <v>0</v>
      </c>
      <c r="AE543" s="25">
        <v>1</v>
      </c>
      <c r="AF543" s="17" t="str">
        <f>+IF(A543&lt;&gt;0,A543,IF(AND(A543="",AE543=1),"",AF542))</f>
        <v/>
      </c>
    </row>
    <row r="544" spans="1:32" x14ac:dyDescent="0.3">
      <c r="A544" s="172"/>
      <c r="J544" s="39" t="s">
        <v>159</v>
      </c>
      <c r="K544" s="40">
        <f ca="1">SUMIF($J$5:$J$456,J544,$K$5:M109)</f>
        <v>0</v>
      </c>
      <c r="L544" s="134">
        <f t="shared" si="48"/>
        <v>0</v>
      </c>
      <c r="M544" s="134">
        <f t="shared" si="49"/>
        <v>0</v>
      </c>
      <c r="AE544" s="25">
        <v>1</v>
      </c>
      <c r="AF544" s="17" t="str">
        <f>+IF(A544&lt;&gt;0,A544,IF(AND(A544="",AE544=1),"",AF543))</f>
        <v/>
      </c>
    </row>
    <row r="545" spans="1:32" x14ac:dyDescent="0.3">
      <c r="A545" s="172"/>
      <c r="J545" s="39" t="s">
        <v>160</v>
      </c>
      <c r="K545" s="40">
        <f ca="1">SUMIF($J$5:$J$456,J545,$K$5:M110)</f>
        <v>0</v>
      </c>
      <c r="L545" s="134">
        <f t="shared" si="48"/>
        <v>0</v>
      </c>
      <c r="M545" s="134">
        <f t="shared" si="49"/>
        <v>0</v>
      </c>
      <c r="AE545" s="25">
        <v>1</v>
      </c>
      <c r="AF545" s="17" t="str">
        <f>+IF(A545&lt;&gt;0,A545,IF(AND(A545="",AE545=1),"",AF544))</f>
        <v/>
      </c>
    </row>
    <row r="546" spans="1:32" x14ac:dyDescent="0.3">
      <c r="A546" s="25"/>
      <c r="G546" s="25"/>
      <c r="J546" s="37" t="s">
        <v>161</v>
      </c>
      <c r="K546" s="40">
        <f ca="1">SUMIF($J$5:$J$456,J546,$K$5:M107)</f>
        <v>0</v>
      </c>
      <c r="L546" s="134">
        <f t="shared" si="48"/>
        <v>0</v>
      </c>
      <c r="M546" s="134">
        <f t="shared" si="49"/>
        <v>0</v>
      </c>
      <c r="N546" s="25">
        <f>18140+16900</f>
        <v>35040</v>
      </c>
      <c r="Q546" s="25"/>
      <c r="S546" s="25"/>
      <c r="T546" s="25"/>
      <c r="U546" s="25"/>
      <c r="V546" s="25"/>
      <c r="W546" s="25"/>
      <c r="X546" s="25"/>
      <c r="AE546" s="25">
        <v>1</v>
      </c>
      <c r="AF546" s="17" t="str">
        <f>+IF(A546&lt;&gt;0,A546,IF(AND(A546="",AE546=1),"",AF542))</f>
        <v/>
      </c>
    </row>
    <row r="547" spans="1:32" ht="12.75" customHeight="1" x14ac:dyDescent="0.3">
      <c r="J547" s="37" t="s">
        <v>162</v>
      </c>
      <c r="K547" s="40">
        <f ca="1">SUMIF($J$5:$J$456,J547,$K$5:M109)</f>
        <v>0</v>
      </c>
      <c r="L547" s="134">
        <f t="shared" si="48"/>
        <v>0</v>
      </c>
      <c r="M547" s="134">
        <f t="shared" si="49"/>
        <v>0</v>
      </c>
      <c r="AE547" s="25">
        <v>1</v>
      </c>
      <c r="AF547" s="17" t="str">
        <f t="shared" si="50"/>
        <v/>
      </c>
    </row>
    <row r="548" spans="1:32" ht="12.75" customHeight="1" x14ac:dyDescent="0.3">
      <c r="J548" s="37" t="s">
        <v>163</v>
      </c>
      <c r="K548" s="40">
        <f ca="1">SUMIF($J$5:$J$456,J548,$K$5:M110)</f>
        <v>0</v>
      </c>
      <c r="L548" s="134">
        <f t="shared" si="48"/>
        <v>0</v>
      </c>
      <c r="M548" s="134">
        <f t="shared" si="49"/>
        <v>0</v>
      </c>
      <c r="AE548" s="25">
        <v>1</v>
      </c>
      <c r="AF548" s="17" t="str">
        <f t="shared" si="50"/>
        <v/>
      </c>
    </row>
    <row r="549" spans="1:32" x14ac:dyDescent="0.3">
      <c r="J549" s="76" t="s">
        <v>164</v>
      </c>
      <c r="K549" s="40">
        <f ca="1">SUMIF($J$5:$J$456,J549,$K$5:M111)</f>
        <v>0</v>
      </c>
      <c r="L549" s="134">
        <f t="shared" si="48"/>
        <v>0</v>
      </c>
      <c r="M549" s="134">
        <f t="shared" si="49"/>
        <v>0</v>
      </c>
      <c r="AE549" s="25">
        <v>1</v>
      </c>
      <c r="AF549" s="17" t="str">
        <f t="shared" si="50"/>
        <v/>
      </c>
    </row>
    <row r="550" spans="1:32" x14ac:dyDescent="0.3">
      <c r="J550" s="76" t="s">
        <v>68</v>
      </c>
      <c r="K550" s="40">
        <f ca="1">SUMIF($J$5:$J$456,J550,$K$5:M112)</f>
        <v>5100</v>
      </c>
      <c r="L550" s="134">
        <f t="shared" si="48"/>
        <v>0</v>
      </c>
      <c r="M550" s="134">
        <f t="shared" si="49"/>
        <v>0</v>
      </c>
      <c r="AE550" s="25">
        <v>1</v>
      </c>
      <c r="AF550" s="17" t="str">
        <f t="shared" si="50"/>
        <v/>
      </c>
    </row>
    <row r="551" spans="1:32" x14ac:dyDescent="0.3">
      <c r="J551" s="76" t="s">
        <v>165</v>
      </c>
      <c r="K551" s="40">
        <f ca="1">SUMIF($J$5:$J$456,J551,$K$5:M113)</f>
        <v>0</v>
      </c>
      <c r="L551" s="134">
        <f t="shared" si="48"/>
        <v>0</v>
      </c>
      <c r="M551" s="134">
        <f t="shared" si="49"/>
        <v>0</v>
      </c>
      <c r="AE551" s="25">
        <v>1</v>
      </c>
      <c r="AF551" s="17" t="str">
        <f t="shared" si="50"/>
        <v/>
      </c>
    </row>
    <row r="552" spans="1:32" x14ac:dyDescent="0.3">
      <c r="A552" s="25"/>
      <c r="G552" s="25"/>
      <c r="J552" s="76" t="s">
        <v>166</v>
      </c>
      <c r="K552" s="40">
        <f ca="1">SUMIF($J$5:$J$456,J552,$K$5:M113)</f>
        <v>0</v>
      </c>
      <c r="L552" s="134">
        <f t="shared" si="48"/>
        <v>0</v>
      </c>
      <c r="M552" s="134">
        <f t="shared" si="49"/>
        <v>0</v>
      </c>
      <c r="Q552" s="25"/>
      <c r="S552" s="25"/>
      <c r="T552" s="25"/>
      <c r="U552" s="25"/>
      <c r="V552" s="25"/>
      <c r="W552" s="25"/>
      <c r="X552" s="25"/>
      <c r="AE552" s="25">
        <v>1</v>
      </c>
      <c r="AF552" s="17" t="str">
        <f t="shared" si="50"/>
        <v/>
      </c>
    </row>
    <row r="553" spans="1:32" x14ac:dyDescent="0.3">
      <c r="J553" s="76" t="s">
        <v>167</v>
      </c>
      <c r="K553" s="40">
        <f ca="1">SUMIF($J$5:$J$456,J553,$K$5:M114)</f>
        <v>0</v>
      </c>
      <c r="L553" s="134">
        <f t="shared" si="48"/>
        <v>0</v>
      </c>
      <c r="M553" s="134">
        <f t="shared" si="49"/>
        <v>0</v>
      </c>
      <c r="AE553" s="25">
        <v>1</v>
      </c>
      <c r="AF553" s="17" t="str">
        <f t="shared" si="50"/>
        <v/>
      </c>
    </row>
    <row r="554" spans="1:32" x14ac:dyDescent="0.3">
      <c r="J554" s="76" t="s">
        <v>168</v>
      </c>
      <c r="K554" s="40">
        <f ca="1">SUMIF($J$5:$J$456,J554,$K$5:M115)</f>
        <v>0</v>
      </c>
      <c r="L554" s="134">
        <f t="shared" si="48"/>
        <v>0</v>
      </c>
      <c r="M554" s="134">
        <f t="shared" si="49"/>
        <v>0</v>
      </c>
      <c r="AE554" s="25">
        <v>1</v>
      </c>
      <c r="AF554" s="17" t="str">
        <f t="shared" si="50"/>
        <v/>
      </c>
    </row>
    <row r="555" spans="1:32" x14ac:dyDescent="0.3">
      <c r="J555" s="76" t="s">
        <v>169</v>
      </c>
      <c r="K555" s="40">
        <f ca="1">SUMIF($J$5:$J$456,J555,$K$5:M119)</f>
        <v>0</v>
      </c>
      <c r="L555" s="134">
        <f t="shared" si="48"/>
        <v>0</v>
      </c>
      <c r="M555" s="134">
        <f t="shared" si="49"/>
        <v>0</v>
      </c>
      <c r="AE555" s="25">
        <v>1</v>
      </c>
      <c r="AF555" s="17" t="str">
        <f t="shared" si="50"/>
        <v/>
      </c>
    </row>
    <row r="556" spans="1:32" ht="27.6" x14ac:dyDescent="0.3">
      <c r="J556" s="69" t="s">
        <v>170</v>
      </c>
      <c r="K556" s="40">
        <f ca="1">SUMIF($J$5:$J$456,J556,$K$5:M120)</f>
        <v>0</v>
      </c>
      <c r="L556" s="134">
        <f t="shared" si="48"/>
        <v>0</v>
      </c>
      <c r="M556" s="134">
        <f t="shared" si="49"/>
        <v>0</v>
      </c>
      <c r="AE556" s="25">
        <v>1</v>
      </c>
      <c r="AF556" s="17" t="str">
        <f t="shared" si="50"/>
        <v/>
      </c>
    </row>
    <row r="557" spans="1:32" ht="27.6" x14ac:dyDescent="0.3">
      <c r="J557" s="69" t="s">
        <v>34</v>
      </c>
      <c r="K557" s="40">
        <f ca="1">SUMIF($J$5:$J$456,J557,$K$5:M121)</f>
        <v>10200</v>
      </c>
      <c r="L557" s="134">
        <f t="shared" si="48"/>
        <v>3</v>
      </c>
      <c r="M557" s="134">
        <f t="shared" si="49"/>
        <v>0</v>
      </c>
      <c r="AE557" s="25">
        <v>1</v>
      </c>
      <c r="AF557" s="17" t="str">
        <f t="shared" si="50"/>
        <v/>
      </c>
    </row>
    <row r="558" spans="1:32" ht="27.6" x14ac:dyDescent="0.3">
      <c r="J558" s="69" t="s">
        <v>171</v>
      </c>
      <c r="K558" s="40">
        <f ca="1">SUMIF($J$5:$J$456,J558,$K$5:M122)</f>
        <v>0</v>
      </c>
      <c r="L558" s="134">
        <f t="shared" si="48"/>
        <v>0</v>
      </c>
      <c r="M558" s="134">
        <f t="shared" si="49"/>
        <v>0</v>
      </c>
      <c r="AE558" s="25">
        <v>1</v>
      </c>
      <c r="AF558" s="17" t="str">
        <f t="shared" si="50"/>
        <v/>
      </c>
    </row>
    <row r="559" spans="1:32" ht="27.6" x14ac:dyDescent="0.3">
      <c r="J559" s="69" t="s">
        <v>172</v>
      </c>
      <c r="K559" s="40">
        <f ca="1">SUMIF($J$5:$J$456,J559,$K$5:M123)</f>
        <v>0</v>
      </c>
      <c r="L559" s="134">
        <f t="shared" si="48"/>
        <v>0</v>
      </c>
      <c r="M559" s="134">
        <f t="shared" si="49"/>
        <v>0</v>
      </c>
      <c r="AE559" s="25">
        <v>1</v>
      </c>
      <c r="AF559" s="17" t="str">
        <f t="shared" si="50"/>
        <v/>
      </c>
    </row>
    <row r="560" spans="1:32" ht="27.6" x14ac:dyDescent="0.3">
      <c r="J560" s="69" t="s">
        <v>173</v>
      </c>
      <c r="K560" s="40">
        <f ca="1">SUMIF($J$5:$J$456,J560,$K$5:M125)</f>
        <v>0</v>
      </c>
      <c r="L560" s="134">
        <f t="shared" si="48"/>
        <v>0</v>
      </c>
      <c r="M560" s="134">
        <f t="shared" si="49"/>
        <v>0</v>
      </c>
      <c r="AE560" s="25">
        <v>1</v>
      </c>
      <c r="AF560" s="17" t="str">
        <f t="shared" si="50"/>
        <v/>
      </c>
    </row>
    <row r="561" spans="10:32" ht="27.6" x14ac:dyDescent="0.3">
      <c r="J561" s="69" t="s">
        <v>36</v>
      </c>
      <c r="K561" s="40">
        <f ca="1">SUMIF($J$5:$J$456,J561,$K$5:M126)</f>
        <v>5047</v>
      </c>
      <c r="L561" s="134">
        <f t="shared" si="48"/>
        <v>6</v>
      </c>
      <c r="M561" s="134">
        <f t="shared" si="49"/>
        <v>0</v>
      </c>
      <c r="AE561" s="25">
        <v>1</v>
      </c>
      <c r="AF561" s="17" t="str">
        <f t="shared" si="50"/>
        <v/>
      </c>
    </row>
    <row r="562" spans="10:32" x14ac:dyDescent="0.3">
      <c r="J562" s="173" t="s">
        <v>174</v>
      </c>
      <c r="K562" s="40">
        <f ca="1">SUMIF($J$5:$J$456,J562,$K$5:M127)</f>
        <v>0</v>
      </c>
      <c r="L562" s="134">
        <f t="shared" si="48"/>
        <v>0</v>
      </c>
      <c r="M562" s="134">
        <f t="shared" si="49"/>
        <v>0</v>
      </c>
      <c r="AE562" s="25">
        <v>1</v>
      </c>
      <c r="AF562" s="17" t="str">
        <f t="shared" si="50"/>
        <v/>
      </c>
    </row>
    <row r="563" spans="10:32" x14ac:dyDescent="0.3">
      <c r="J563" s="173" t="s">
        <v>175</v>
      </c>
      <c r="K563" s="40">
        <f ca="1">SUMIF($J$5:$J$456,J563,$K$5:M130)</f>
        <v>0</v>
      </c>
      <c r="L563" s="134">
        <f t="shared" si="48"/>
        <v>0</v>
      </c>
      <c r="M563" s="134">
        <f t="shared" si="49"/>
        <v>0</v>
      </c>
    </row>
    <row r="564" spans="10:32" x14ac:dyDescent="0.3">
      <c r="J564" s="151" t="s">
        <v>176</v>
      </c>
      <c r="K564" s="40">
        <f ca="1">SUMIF($J$5:$J$456,J564,$K$5:M132)</f>
        <v>0</v>
      </c>
      <c r="L564" s="134">
        <f t="shared" si="48"/>
        <v>0</v>
      </c>
      <c r="M564" s="134">
        <f t="shared" si="49"/>
        <v>0</v>
      </c>
    </row>
    <row r="565" spans="10:32" x14ac:dyDescent="0.3">
      <c r="J565" s="174" t="s">
        <v>177</v>
      </c>
      <c r="K565" s="40">
        <f ca="1">SUMIF($J$5:$J$456,J565,$K$5:M133)</f>
        <v>0</v>
      </c>
      <c r="L565" s="134">
        <f t="shared" si="48"/>
        <v>0</v>
      </c>
      <c r="M565" s="134">
        <f t="shared" si="49"/>
        <v>0</v>
      </c>
    </row>
    <row r="566" spans="10:32" x14ac:dyDescent="0.3">
      <c r="J566" s="174" t="s">
        <v>178</v>
      </c>
      <c r="K566" s="40">
        <f ca="1">SUMIF($J$5:$J$456,J566,$K$5:M134)</f>
        <v>0</v>
      </c>
      <c r="L566" s="134">
        <f t="shared" si="48"/>
        <v>0</v>
      </c>
      <c r="M566" s="134">
        <f t="shared" si="49"/>
        <v>0</v>
      </c>
    </row>
    <row r="567" spans="10:32" x14ac:dyDescent="0.3">
      <c r="J567" s="72" t="s">
        <v>57</v>
      </c>
      <c r="K567" s="40">
        <f ca="1">SUMIF($J$5:$J$456,J567,$K$5:M135)</f>
        <v>10050</v>
      </c>
      <c r="L567" s="134">
        <f t="shared" si="48"/>
        <v>3</v>
      </c>
      <c r="M567" s="134">
        <f t="shared" si="49"/>
        <v>0</v>
      </c>
    </row>
    <row r="568" spans="10:32" ht="33.6" x14ac:dyDescent="0.3">
      <c r="J568" s="72" t="s">
        <v>179</v>
      </c>
      <c r="K568" s="40">
        <f ca="1">SUMIF($J$5:$J$456,J568,$K$5:M136)</f>
        <v>0</v>
      </c>
      <c r="L568" s="134">
        <f t="shared" si="48"/>
        <v>0</v>
      </c>
      <c r="M568" s="134">
        <f t="shared" si="49"/>
        <v>0</v>
      </c>
    </row>
    <row r="569" spans="10:32" x14ac:dyDescent="0.3">
      <c r="J569" s="72" t="s">
        <v>180</v>
      </c>
      <c r="K569" s="40">
        <f ca="1">SUMIF($J$5:$J$456,J569,$K$5:M136)</f>
        <v>0</v>
      </c>
      <c r="L569" s="134">
        <f t="shared" si="48"/>
        <v>0</v>
      </c>
      <c r="M569" s="134">
        <f t="shared" si="49"/>
        <v>0</v>
      </c>
    </row>
    <row r="570" spans="10:32" x14ac:dyDescent="0.3">
      <c r="J570" s="72" t="s">
        <v>181</v>
      </c>
      <c r="K570" s="40">
        <f ca="1">SUMIF($J$5:$J$456,J570,$K$5:M137)</f>
        <v>0</v>
      </c>
      <c r="L570" s="134">
        <f t="shared" si="48"/>
        <v>0</v>
      </c>
      <c r="M570" s="134">
        <f t="shared" si="49"/>
        <v>0</v>
      </c>
    </row>
    <row r="571" spans="10:32" x14ac:dyDescent="0.3">
      <c r="J571" s="72" t="s">
        <v>182</v>
      </c>
      <c r="K571" s="40">
        <f ca="1">SUMIF($J$5:$J$456,J571,$K$5:M138)</f>
        <v>0</v>
      </c>
      <c r="L571" s="134">
        <f t="shared" si="48"/>
        <v>0</v>
      </c>
      <c r="M571" s="134">
        <f t="shared" si="49"/>
        <v>0</v>
      </c>
    </row>
    <row r="572" spans="10:32" x14ac:dyDescent="0.3">
      <c r="J572" s="96" t="s">
        <v>183</v>
      </c>
      <c r="K572" s="40">
        <f ca="1">SUMIF($J$5:$J$456,J572,$K$5:M139)</f>
        <v>0</v>
      </c>
      <c r="L572" s="134">
        <f t="shared" si="48"/>
        <v>0</v>
      </c>
      <c r="M572" s="134">
        <f t="shared" si="49"/>
        <v>0</v>
      </c>
    </row>
    <row r="573" spans="10:32" x14ac:dyDescent="0.3">
      <c r="J573" s="96" t="s">
        <v>184</v>
      </c>
      <c r="K573" s="40">
        <f ca="1">SUMIF($J$5:$J$456,J573,$K$5:M140)</f>
        <v>0</v>
      </c>
      <c r="L573" s="134">
        <f t="shared" si="48"/>
        <v>0</v>
      </c>
      <c r="M573" s="134">
        <f t="shared" si="49"/>
        <v>0</v>
      </c>
    </row>
    <row r="574" spans="10:32" x14ac:dyDescent="0.3">
      <c r="J574" s="96" t="s">
        <v>185</v>
      </c>
      <c r="K574" s="40">
        <f ca="1">SUMIF($J$5:$J$456,J574,$K$5:M141)</f>
        <v>0</v>
      </c>
      <c r="L574" s="134">
        <f t="shared" si="48"/>
        <v>0</v>
      </c>
      <c r="M574" s="134">
        <f t="shared" si="49"/>
        <v>0</v>
      </c>
    </row>
    <row r="575" spans="10:32" x14ac:dyDescent="0.3">
      <c r="J575" s="96" t="s">
        <v>186</v>
      </c>
      <c r="K575" s="40">
        <f ca="1">SUMIF($J$5:$J$456,J575,$K$5:M142)</f>
        <v>0</v>
      </c>
      <c r="L575" s="134">
        <f t="shared" si="48"/>
        <v>0</v>
      </c>
      <c r="M575" s="134">
        <f t="shared" si="49"/>
        <v>0</v>
      </c>
    </row>
    <row r="576" spans="10:32" x14ac:dyDescent="0.3">
      <c r="J576" s="96" t="s">
        <v>187</v>
      </c>
      <c r="K576" s="40">
        <f ca="1">SUMIF($J$5:$J$456,J576,$K$5:M143)</f>
        <v>0</v>
      </c>
      <c r="L576" s="134">
        <f t="shared" si="48"/>
        <v>0</v>
      </c>
      <c r="M576" s="134">
        <f t="shared" si="49"/>
        <v>0</v>
      </c>
    </row>
    <row r="577" spans="10:13" x14ac:dyDescent="0.3">
      <c r="J577" s="96" t="s">
        <v>188</v>
      </c>
      <c r="K577" s="40">
        <f ca="1">SUMIF($J$5:$J$456,J577,$K$5:M144)</f>
        <v>0</v>
      </c>
      <c r="L577" s="134">
        <f t="shared" si="48"/>
        <v>0</v>
      </c>
      <c r="M577" s="134">
        <f t="shared" si="49"/>
        <v>0</v>
      </c>
    </row>
    <row r="578" spans="10:13" x14ac:dyDescent="0.3">
      <c r="J578" s="96" t="s">
        <v>71</v>
      </c>
      <c r="K578" s="40">
        <f ca="1">SUMIF($J$5:$J$456,J578,$K$5:M145)</f>
        <v>5050</v>
      </c>
      <c r="L578" s="134">
        <f t="shared" si="48"/>
        <v>6</v>
      </c>
      <c r="M578" s="134">
        <f t="shared" si="49"/>
        <v>4</v>
      </c>
    </row>
  </sheetData>
  <autoFilter ref="A4:X501"/>
  <mergeCells count="15">
    <mergeCell ref="L2:M2"/>
    <mergeCell ref="O2:O3"/>
    <mergeCell ref="Q220:Q221"/>
    <mergeCell ref="N280:N283"/>
    <mergeCell ref="J458:L458"/>
    <mergeCell ref="C1:C3"/>
    <mergeCell ref="D1:D3"/>
    <mergeCell ref="E1:I1"/>
    <mergeCell ref="N1:N3"/>
    <mergeCell ref="B2:B3"/>
    <mergeCell ref="E2:E3"/>
    <mergeCell ref="F2:H2"/>
    <mergeCell ref="I2:I3"/>
    <mergeCell ref="J2:J3"/>
    <mergeCell ref="K2:K3"/>
  </mergeCells>
  <pageMargins left="0.118110236220472" right="0.118110236220472" top="0.15748031496063" bottom="0.15748031496063" header="0.31496062992126" footer="0.31496062992126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Bế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Nguyễn Gia</dc:creator>
  <cp:lastModifiedBy>Lộc Nguyễn Gia</cp:lastModifiedBy>
  <dcterms:created xsi:type="dcterms:W3CDTF">2026-08-09T10:03:15Z</dcterms:created>
  <dcterms:modified xsi:type="dcterms:W3CDTF">2026-08-09T10:03:59Z</dcterms:modified>
</cp:coreProperties>
</file>