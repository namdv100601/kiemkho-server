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18E9367F-E716-478D-819A-B7A6A8AF57A9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1" sheetId="5" r:id="rId1"/>
    <sheet name="In" sheetId="1" r:id="rId2"/>
    <sheet name="KCS" sheetId="2" r:id="rId3"/>
    <sheet name="Bồi" sheetId="3" r:id="rId4"/>
    <sheet name="Bế" sheetId="4" r:id="rId5"/>
  </sheets>
  <definedNames>
    <definedName name="_xlnm.Print_Area" localSheetId="4">Bế!$A$1:$G$40</definedName>
    <definedName name="_xlnm.Print_Area" localSheetId="3">Bồi!$A$1:$G$43</definedName>
    <definedName name="_xlnm.Print_Area" localSheetId="1">In!$A$1:$F$67</definedName>
    <definedName name="_xlnm.Print_Area" localSheetId="2">KCS!$A$1:$H$41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" l="1"/>
  <c r="D29" i="1"/>
  <c r="E12" i="1"/>
  <c r="D28" i="1" s="1"/>
  <c r="D13" i="2" s="1"/>
  <c r="C10" i="3" s="1"/>
  <c r="D3" i="5"/>
  <c r="G3" i="1"/>
  <c r="A8" i="1"/>
  <c r="D15" i="3" l="1"/>
  <c r="D16" i="3" s="1"/>
  <c r="F11" i="3"/>
  <c r="A5" i="4"/>
  <c r="A7" i="3"/>
  <c r="G1" i="1"/>
  <c r="F3" i="5"/>
  <c r="C7" i="1"/>
  <c r="C5" i="4" s="1"/>
  <c r="D13" i="4" l="1"/>
  <c r="D14" i="4" s="1"/>
  <c r="D15" i="4" s="1"/>
  <c r="C7" i="3"/>
  <c r="C7" i="2"/>
  <c r="A8" i="2" l="1"/>
  <c r="A8" i="3" s="1"/>
  <c r="A6" i="4" s="1"/>
  <c r="A7" i="2"/>
  <c r="H2" i="4" l="1"/>
  <c r="H1" i="4"/>
  <c r="A4" i="4" s="1"/>
  <c r="H2" i="3"/>
  <c r="H1" i="3"/>
  <c r="A5" i="3" s="1"/>
  <c r="I2" i="2"/>
  <c r="I1" i="2"/>
  <c r="A5" i="2" s="1"/>
  <c r="A5" i="1" l="1"/>
</calcChain>
</file>

<file path=xl/sharedStrings.xml><?xml version="1.0" encoding="utf-8"?>
<sst xmlns="http://schemas.openxmlformats.org/spreadsheetml/2006/main" count="153" uniqueCount="93">
  <si>
    <t>LỆNH IN</t>
  </si>
  <si>
    <t>Tên vật tư</t>
  </si>
  <si>
    <t>Đơn vị</t>
  </si>
  <si>
    <t>Số lượng</t>
  </si>
  <si>
    <t>Ghi chú</t>
  </si>
  <si>
    <t>Duplex 230/825*541</t>
  </si>
  <si>
    <t>Tờ</t>
  </si>
  <si>
    <t>Bản in</t>
  </si>
  <si>
    <t>Tấm</t>
  </si>
  <si>
    <t xml:space="preserve">Mực in offset màu đen </t>
  </si>
  <si>
    <t>Kg</t>
  </si>
  <si>
    <t xml:space="preserve">Mực in offset màu vàng </t>
  </si>
  <si>
    <t xml:space="preserve">Mực in offset màu đỏ sen </t>
  </si>
  <si>
    <t xml:space="preserve">Mực in offset màu đỏ cờ </t>
  </si>
  <si>
    <t xml:space="preserve">Kg </t>
  </si>
  <si>
    <t>Dầu pha mực</t>
  </si>
  <si>
    <t>Nước tiết kiệm cồn stabilat</t>
  </si>
  <si>
    <t>Lít</t>
  </si>
  <si>
    <t>Cồn IPA</t>
  </si>
  <si>
    <t>Dung dịch rửa lô</t>
  </si>
  <si>
    <t>Chất phủ bóng</t>
  </si>
  <si>
    <t xml:space="preserve">              Thứ tự in: Đen -Đỏ- Vàng- Đỏ pha-Phủ bóng.</t>
  </si>
  <si>
    <t>Người lập</t>
  </si>
  <si>
    <t>Xí nghiệp sản xuất bao bì</t>
  </si>
  <si>
    <t>P.Giám đốc</t>
  </si>
  <si>
    <t>Ngày</t>
  </si>
  <si>
    <t>Ca sản xuất</t>
  </si>
  <si>
    <t>Sản lượng đạt</t>
  </si>
  <si>
    <t>Sản lượng hỏng</t>
  </si>
  <si>
    <t>Nguyên nhân lỗi</t>
  </si>
  <si>
    <t>Ký tên</t>
  </si>
  <si>
    <t>Tổng cộng</t>
  </si>
  <si>
    <t>Tổ trưởng/Trưởng ca</t>
  </si>
  <si>
    <t>Thống kê</t>
  </si>
  <si>
    <t>STT</t>
  </si>
  <si>
    <t>Nguyễn Khánh Vi</t>
  </si>
  <si>
    <t>LỆNH KCS</t>
  </si>
  <si>
    <t>Kiểm tra chất lượng sản phẩm theo các tiêu chí sau:</t>
  </si>
  <si>
    <t>Ngày kiểm</t>
  </si>
  <si>
    <t>Lệnh in</t>
  </si>
  <si>
    <t>Đ/v</t>
  </si>
  <si>
    <t>Đánh giá chất lượng</t>
  </si>
  <si>
    <t>I. Yêu cầu sản xuất</t>
  </si>
  <si>
    <t>Người kiểm</t>
  </si>
  <si>
    <t>XN in xác nhận</t>
  </si>
  <si>
    <t>Ngày/ca in</t>
  </si>
  <si>
    <t>LỆNH BỒI</t>
  </si>
  <si>
    <t>1. Vật tư, nguyên vật liệu:</t>
  </si>
  <si>
    <t>2. Yêu cầu về chất lượng, số lượng và tiến độ:</t>
  </si>
  <si>
    <t>- TCCL sản phẩm số 01/H04/QM</t>
  </si>
  <si>
    <t>-  Hao phí cho phép: 0.3%</t>
  </si>
  <si>
    <t xml:space="preserve"> - Số lượng tờ in giao thực tế:……………….....................……….tờ</t>
  </si>
  <si>
    <t>ĐVT</t>
  </si>
  <si>
    <t>Đạt</t>
  </si>
  <si>
    <t>Hỏng</t>
  </si>
  <si>
    <t>LỆNH BẾ</t>
  </si>
  <si>
    <t>I. Yêu cầu sản xuất:</t>
  </si>
  <si>
    <t>1.   Thông số kỹ thuật:</t>
  </si>
  <si>
    <t>-    Số sản phẩm/lần bế:1/1</t>
  </si>
  <si>
    <t xml:space="preserve">-     Kích thước hộp: 403*268.5*117.5 mm </t>
  </si>
  <si>
    <t>-    Duyệt sản phẩm: Theo mẫu số: 01 - TCCL số 01/H04/QM</t>
  </si>
  <si>
    <t>2. Yêu cầu về số lượng và tiến độ</t>
  </si>
  <si>
    <t>III.  Báo cáo sản lượng sản xuất</t>
  </si>
  <si>
    <t xml:space="preserve"> -    Nội dung, màu sắc:   Theo mẫu .........................................TCCL số: 01/H03/QM</t>
  </si>
  <si>
    <t>I.  Nguyên vật liệu sử dụng</t>
  </si>
  <si>
    <t>II.  Yêu cầu sản xuất</t>
  </si>
  <si>
    <t>-    Số màu in: 04</t>
  </si>
  <si>
    <t xml:space="preserve">-    Duyệt sản phẩm theo mẫu số: 01/H03/QM </t>
  </si>
  <si>
    <t>Lệnh</t>
  </si>
  <si>
    <t>Tên SP</t>
  </si>
  <si>
    <t>Số hộp đạt</t>
  </si>
  <si>
    <t>Ngày làm lệnh</t>
  </si>
  <si>
    <t xml:space="preserve">Tên sản phẩm:  </t>
  </si>
  <si>
    <t>Hộp 24 lon bia HN Vàng</t>
  </si>
  <si>
    <t>-    Hao phí cho phép: 900 tờ</t>
  </si>
  <si>
    <r>
      <t xml:space="preserve">-    </t>
    </r>
    <r>
      <rPr>
        <b/>
        <sz val="13"/>
        <color theme="1"/>
        <rFont val="Times New Roman"/>
        <family val="1"/>
      </rPr>
      <t>Ngày dự kiến sản xuất:     /   /2026</t>
    </r>
  </si>
  <si>
    <r>
      <t xml:space="preserve">-    </t>
    </r>
    <r>
      <rPr>
        <b/>
        <sz val="13"/>
        <color theme="1"/>
        <rFont val="Times New Roman"/>
        <family val="1"/>
      </rPr>
      <t>Ngày dự kiến hoàn thành:…./    /2026</t>
    </r>
  </si>
  <si>
    <t>-     Keo bồi:       825 Kg</t>
  </si>
  <si>
    <t>-        Thời gian dự kiến sản xuất:  ...../   /2026</t>
  </si>
  <si>
    <t>-        Thời gian dự kiến hoàn thành: ...../   /2026</t>
  </si>
  <si>
    <t>,-    Thời gian dự kiến sản xuất:      /  /2026.</t>
  </si>
  <si>
    <t>-    Thời gian dự kiến hoàn thành: …./  /2026</t>
  </si>
  <si>
    <t xml:space="preserve">-    Tổng số lượng giấy xuất:                </t>
  </si>
  <si>
    <r>
      <t xml:space="preserve">-    </t>
    </r>
    <r>
      <rPr>
        <b/>
        <u/>
        <sz val="13"/>
        <color theme="1"/>
        <rFont val="Times New Roman"/>
        <family val="1"/>
      </rPr>
      <t>Số lượng yêu cầu in đạt :</t>
    </r>
  </si>
  <si>
    <t>(Chi tiết trong Phiếu Y/c kiểm soát)</t>
  </si>
  <si>
    <t xml:space="preserve"> -  Tổng số lượng yêu cầu kiểm soát:</t>
  </si>
  <si>
    <r>
      <t xml:space="preserve">-    </t>
    </r>
    <r>
      <rPr>
        <sz val="13"/>
        <color theme="1"/>
        <rFont val="Times New Roman"/>
        <family val="1"/>
      </rPr>
      <t xml:space="preserve">Số lượng tờ in: </t>
    </r>
  </si>
  <si>
    <t xml:space="preserve">Số lượng: </t>
  </si>
  <si>
    <t xml:space="preserve">-        Loại sóng:       Sóng E 818*534mm       </t>
  </si>
  <si>
    <r>
      <t xml:space="preserve">-  </t>
    </r>
    <r>
      <rPr>
        <b/>
        <sz val="13"/>
        <color theme="1"/>
        <rFont val="Times New Roman"/>
        <family val="1"/>
      </rPr>
      <t xml:space="preserve">Số lượng tờ bồi yêu cầu đạt: </t>
    </r>
  </si>
  <si>
    <t xml:space="preserve">Tờ bồi dự kiến:  </t>
  </si>
  <si>
    <t xml:space="preserve">-    Hao phí : 0.3% </t>
  </si>
  <si>
    <t xml:space="preserve">-    Số lượng TP yêu cầu đạt: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</si>
</sst>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010000]d/m/yyyy;@"/>
    <numFmt numFmtId="165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13"/>
      <name val="Times New Roman"/>
      <family val="1"/>
    </font>
    <font>
      <b/>
      <i/>
      <sz val="13"/>
      <name val="Times New Roman"/>
      <family val="1"/>
    </font>
    <font>
      <sz val="13"/>
      <name val="Times New Roman"/>
      <family val="1"/>
    </font>
    <font>
      <b/>
      <u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u val="singleAccounting"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0" fontId="8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4" fontId="8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165" fontId="3" fillId="0" borderId="1" xfId="1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1" applyNumberFormat="1" applyFont="1" applyAlignment="1">
      <alignment horizontal="center" vertical="center"/>
    </xf>
    <xf numFmtId="165" fontId="18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1" applyNumberFormat="1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center" vertical="center"/>
    </xf>
    <xf numFmtId="165" fontId="18" fillId="0" borderId="0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200025</xdr:colOff>
      <xdr:row>3</xdr:row>
      <xdr:rowOff>47625</xdr:rowOff>
    </xdr:to>
    <xdr:pic>
      <xdr:nvPicPr>
        <xdr:cNvPr id="2" name="Picture 1" descr="In phong bi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647700" cy="590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0</xdr:col>
      <xdr:colOff>676275</xdr:colOff>
      <xdr:row>3</xdr:row>
      <xdr:rowOff>47625</xdr:rowOff>
    </xdr:to>
    <xdr:pic>
      <xdr:nvPicPr>
        <xdr:cNvPr id="2" name="Picture 1" descr="In phong bi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647700" cy="590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0</xdr:col>
      <xdr:colOff>676275</xdr:colOff>
      <xdr:row>3</xdr:row>
      <xdr:rowOff>47625</xdr:rowOff>
    </xdr:to>
    <xdr:pic>
      <xdr:nvPicPr>
        <xdr:cNvPr id="2" name="Picture 1" descr="In phong bi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647700" cy="590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28575</xdr:rowOff>
    </xdr:from>
    <xdr:to>
      <xdr:col>0</xdr:col>
      <xdr:colOff>523876</xdr:colOff>
      <xdr:row>2</xdr:row>
      <xdr:rowOff>66675</xdr:rowOff>
    </xdr:to>
    <xdr:pic>
      <xdr:nvPicPr>
        <xdr:cNvPr id="2" name="Picture 1" descr="In phong bi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28575"/>
          <a:ext cx="495300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4"/>
  <sheetViews>
    <sheetView workbookViewId="0">
      <selection activeCell="C11" sqref="C11"/>
    </sheetView>
  </sheetViews>
  <sheetFormatPr defaultRowHeight="15" x14ac:dyDescent="0.25"/>
  <cols>
    <col min="1" max="1" width="18" customWidth="1"/>
    <col min="2" max="2" width="9.140625" style="37"/>
    <col min="3" max="3" width="34.28515625" customWidth="1"/>
    <col min="4" max="4" width="9.140625" style="34"/>
    <col min="6" max="6" width="10.85546875" customWidth="1"/>
  </cols>
  <sheetData>
    <row r="2" spans="1:6" x14ac:dyDescent="0.25">
      <c r="A2" s="40" t="s">
        <v>71</v>
      </c>
      <c r="B2" s="37" t="s">
        <v>68</v>
      </c>
      <c r="C2" t="s">
        <v>69</v>
      </c>
      <c r="D2" s="34" t="s">
        <v>3</v>
      </c>
      <c r="E2" t="s">
        <v>70</v>
      </c>
    </row>
    <row r="3" spans="1:6" x14ac:dyDescent="0.25">
      <c r="A3" s="35">
        <v>46178</v>
      </c>
      <c r="B3" s="38">
        <v>26</v>
      </c>
      <c r="C3" t="s">
        <v>73</v>
      </c>
      <c r="D3" s="34">
        <f>E3*1.015</f>
        <v>101499.99999999999</v>
      </c>
      <c r="E3" s="34">
        <v>100000</v>
      </c>
      <c r="F3" s="35">
        <f>+A3</f>
        <v>46178</v>
      </c>
    </row>
    <row r="4" spans="1:6" x14ac:dyDescent="0.25">
      <c r="A4" s="35"/>
      <c r="B4" s="38"/>
      <c r="E4" s="34"/>
      <c r="F4" s="35"/>
    </row>
    <row r="5" spans="1:6" x14ac:dyDescent="0.25">
      <c r="A5" s="35"/>
      <c r="E5" s="34"/>
      <c r="F5" s="35"/>
    </row>
    <row r="6" spans="1:6" x14ac:dyDescent="0.25">
      <c r="A6" s="35"/>
      <c r="E6" s="34"/>
      <c r="F6" s="35"/>
    </row>
    <row r="7" spans="1:6" x14ac:dyDescent="0.25">
      <c r="A7" s="35"/>
      <c r="E7" s="34"/>
      <c r="F7" s="35"/>
    </row>
    <row r="8" spans="1:6" x14ac:dyDescent="0.25">
      <c r="A8" s="35"/>
      <c r="E8" s="34"/>
      <c r="F8" s="35"/>
    </row>
    <row r="9" spans="1:6" x14ac:dyDescent="0.25">
      <c r="A9" s="36"/>
      <c r="B9" s="38"/>
      <c r="E9" s="34"/>
      <c r="F9" s="35"/>
    </row>
    <row r="10" spans="1:6" x14ac:dyDescent="0.25">
      <c r="A10" s="36"/>
      <c r="B10" s="38"/>
      <c r="E10" s="34"/>
      <c r="F10" s="35"/>
    </row>
    <row r="11" spans="1:6" x14ac:dyDescent="0.25">
      <c r="A11" s="36"/>
      <c r="E11" s="34"/>
      <c r="F11" s="35"/>
    </row>
    <row r="12" spans="1:6" x14ac:dyDescent="0.25">
      <c r="A12" s="36"/>
      <c r="E12" s="34"/>
      <c r="F12" s="35"/>
    </row>
    <row r="13" spans="1:6" x14ac:dyDescent="0.25">
      <c r="A13" s="36"/>
      <c r="E13" s="34"/>
      <c r="F13" s="35"/>
    </row>
    <row r="14" spans="1:6" x14ac:dyDescent="0.25">
      <c r="A14" s="36"/>
      <c r="B14" s="38"/>
      <c r="E14" s="34"/>
      <c r="F14" s="35"/>
    </row>
    <row r="15" spans="1:6" x14ac:dyDescent="0.25">
      <c r="A15" s="36"/>
      <c r="E15" s="34"/>
      <c r="F15" s="35"/>
    </row>
    <row r="16" spans="1:6" x14ac:dyDescent="0.25">
      <c r="A16" s="36"/>
      <c r="E16" s="34"/>
      <c r="F16" s="35"/>
    </row>
    <row r="17" spans="1:6" x14ac:dyDescent="0.25">
      <c r="A17" s="36"/>
      <c r="E17" s="34"/>
      <c r="F17" s="35"/>
    </row>
    <row r="18" spans="1:6" x14ac:dyDescent="0.25">
      <c r="A18" s="36"/>
      <c r="E18" s="34"/>
      <c r="F18" s="35"/>
    </row>
    <row r="19" spans="1:6" x14ac:dyDescent="0.25">
      <c r="A19" s="36"/>
      <c r="E19" s="34"/>
      <c r="F19" s="35"/>
    </row>
    <row r="20" spans="1:6" x14ac:dyDescent="0.25">
      <c r="A20" s="36"/>
      <c r="E20" s="34"/>
      <c r="F20" s="35"/>
    </row>
    <row r="21" spans="1:6" x14ac:dyDescent="0.25">
      <c r="A21" s="36"/>
      <c r="E21" s="34"/>
      <c r="F21" s="35"/>
    </row>
    <row r="22" spans="1:6" x14ac:dyDescent="0.25">
      <c r="A22" s="36"/>
      <c r="E22" s="34"/>
      <c r="F22" s="35"/>
    </row>
    <row r="23" spans="1:6" x14ac:dyDescent="0.25">
      <c r="A23" s="36"/>
      <c r="E23" s="34"/>
      <c r="F23" s="35"/>
    </row>
    <row r="24" spans="1:6" x14ac:dyDescent="0.25">
      <c r="A24" s="36"/>
      <c r="E24" s="34"/>
      <c r="F24" s="3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80"/>
  <sheetViews>
    <sheetView tabSelected="1" view="pageBreakPreview" topLeftCell="A16" zoomScaleNormal="100" zoomScaleSheetLayoutView="100" workbookViewId="0">
      <selection activeCell="G3" sqref="G3"/>
    </sheetView>
  </sheetViews>
  <sheetFormatPr defaultRowHeight="15" x14ac:dyDescent="0.25"/>
  <cols>
    <col min="1" max="1" width="7.140625" style="6" customWidth="1"/>
    <col min="2" max="2" width="13.28515625" style="6" customWidth="1"/>
    <col min="3" max="3" width="14.42578125" style="6" customWidth="1"/>
    <col min="4" max="4" width="13.5703125" style="7" customWidth="1"/>
    <col min="5" max="5" width="20.7109375" style="6" customWidth="1"/>
    <col min="6" max="6" width="17" style="6" customWidth="1"/>
    <col min="7" max="7" width="15.42578125" style="6" customWidth="1"/>
    <col min="8" max="16384" width="9.140625" style="6"/>
  </cols>
  <sheetData>
    <row r="1" spans="1:7" x14ac:dyDescent="0.25">
      <c r="G1" s="39">
        <f>+VLOOKUP($G$2,Sheet1!$B$3:$Z$100,5,0)</f>
        <v>46178</v>
      </c>
    </row>
    <row r="2" spans="1:7" x14ac:dyDescent="0.25">
      <c r="G2" s="11">
        <v>26</v>
      </c>
    </row>
    <row r="3" spans="1:7" x14ac:dyDescent="0.25">
      <c r="G3" s="6" t="str">
        <f>+VLOOKUP($G$2,Sheet1!$B$3:$C$100,2,0)</f>
        <v>Hộp 24 lon bia HN Vàng</v>
      </c>
    </row>
    <row r="4" spans="1:7" ht="23.25" customHeight="1" x14ac:dyDescent="0.25">
      <c r="A4" s="71" t="s">
        <v>0</v>
      </c>
      <c r="B4" s="71"/>
      <c r="C4" s="71"/>
      <c r="D4" s="71"/>
      <c r="E4" s="71"/>
      <c r="F4" s="71"/>
    </row>
    <row r="5" spans="1:7" s="12" customFormat="1" ht="21" customHeight="1" x14ac:dyDescent="0.25">
      <c r="A5" s="72" t="str">
        <f>"Ngày "&amp;DAY($G$1)&amp;" tháng "&amp;MONTH($G$1)&amp;" năm "&amp;YEAR($G$1)</f>
        <v>Ngày 5 tháng 6 năm 2026</v>
      </c>
      <c r="B5" s="72"/>
      <c r="C5" s="72"/>
      <c r="D5" s="72"/>
      <c r="E5" s="72"/>
      <c r="F5" s="72"/>
    </row>
    <row r="6" spans="1:7" s="12" customFormat="1" ht="4.5" customHeight="1" x14ac:dyDescent="0.25"/>
    <row r="7" spans="1:7" s="12" customFormat="1" ht="16.5" x14ac:dyDescent="0.25">
      <c r="A7" s="12" t="s">
        <v>72</v>
      </c>
      <c r="C7" s="12" t="str">
        <f>+G3</f>
        <v>Hộp 24 lon bia HN Vàng</v>
      </c>
      <c r="D7" s="13"/>
    </row>
    <row r="8" spans="1:7" s="12" customFormat="1" ht="16.5" x14ac:dyDescent="0.25">
      <c r="A8" s="12" t="str">
        <f>"Lệnh sản xuất:   FHT-"&amp;$G$2&amp;""</f>
        <v>Lệnh sản xuất:   FHT-26</v>
      </c>
      <c r="D8" s="13"/>
    </row>
    <row r="9" spans="1:7" s="12" customFormat="1" ht="13.5" customHeight="1" x14ac:dyDescent="0.25">
      <c r="D9" s="13"/>
    </row>
    <row r="10" spans="1:7" s="12" customFormat="1" ht="16.5" x14ac:dyDescent="0.25">
      <c r="A10" s="14" t="s">
        <v>64</v>
      </c>
      <c r="D10" s="13"/>
    </row>
    <row r="11" spans="1:7" s="16" customFormat="1" ht="36.75" customHeight="1" x14ac:dyDescent="0.25">
      <c r="A11" s="31" t="s">
        <v>34</v>
      </c>
      <c r="B11" s="75" t="s">
        <v>1</v>
      </c>
      <c r="C11" s="75"/>
      <c r="D11" s="31" t="s">
        <v>2</v>
      </c>
      <c r="E11" s="31" t="s">
        <v>3</v>
      </c>
      <c r="F11" s="31" t="s">
        <v>4</v>
      </c>
    </row>
    <row r="12" spans="1:7" s="12" customFormat="1" ht="19.5" customHeight="1" x14ac:dyDescent="0.25">
      <c r="A12" s="32">
        <v>1</v>
      </c>
      <c r="B12" s="76" t="s">
        <v>5</v>
      </c>
      <c r="C12" s="76"/>
      <c r="D12" s="32" t="s">
        <v>6</v>
      </c>
      <c r="E12" s="43">
        <f>Sheet1!D3</f>
        <v>101499.99999999999</v>
      </c>
      <c r="F12" s="5"/>
    </row>
    <row r="13" spans="1:7" s="12" customFormat="1" ht="19.5" customHeight="1" x14ac:dyDescent="0.25">
      <c r="A13" s="32">
        <v>2</v>
      </c>
      <c r="B13" s="77" t="s">
        <v>7</v>
      </c>
      <c r="C13" s="78"/>
      <c r="D13" s="32" t="s">
        <v>8</v>
      </c>
      <c r="E13" s="32">
        <v>8</v>
      </c>
      <c r="F13" s="5"/>
    </row>
    <row r="14" spans="1:7" s="12" customFormat="1" ht="19.5" customHeight="1" x14ac:dyDescent="0.25">
      <c r="A14" s="32">
        <v>3</v>
      </c>
      <c r="B14" s="77" t="s">
        <v>9</v>
      </c>
      <c r="C14" s="78"/>
      <c r="D14" s="32" t="s">
        <v>10</v>
      </c>
      <c r="E14" s="44">
        <v>1.524</v>
      </c>
      <c r="F14" s="5"/>
    </row>
    <row r="15" spans="1:7" s="12" customFormat="1" ht="19.5" customHeight="1" x14ac:dyDescent="0.25">
      <c r="A15" s="32">
        <v>4</v>
      </c>
      <c r="B15" s="77" t="s">
        <v>11</v>
      </c>
      <c r="C15" s="78"/>
      <c r="D15" s="32" t="s">
        <v>10</v>
      </c>
      <c r="E15" s="32">
        <v>35.56</v>
      </c>
      <c r="F15" s="5"/>
    </row>
    <row r="16" spans="1:7" s="12" customFormat="1" ht="19.5" customHeight="1" x14ac:dyDescent="0.25">
      <c r="A16" s="32">
        <v>5</v>
      </c>
      <c r="B16" s="77" t="s">
        <v>12</v>
      </c>
      <c r="C16" s="78"/>
      <c r="D16" s="32" t="s">
        <v>10</v>
      </c>
      <c r="E16" s="32">
        <v>35.56</v>
      </c>
      <c r="F16" s="5"/>
    </row>
    <row r="17" spans="1:6" s="12" customFormat="1" ht="19.5" customHeight="1" x14ac:dyDescent="0.25">
      <c r="A17" s="32">
        <v>6</v>
      </c>
      <c r="B17" s="77" t="s">
        <v>13</v>
      </c>
      <c r="C17" s="78"/>
      <c r="D17" s="32" t="s">
        <v>14</v>
      </c>
      <c r="E17" s="32">
        <v>22.86</v>
      </c>
      <c r="F17" s="5"/>
    </row>
    <row r="18" spans="1:6" s="12" customFormat="1" ht="19.5" customHeight="1" x14ac:dyDescent="0.25">
      <c r="A18" s="32">
        <v>7</v>
      </c>
      <c r="B18" s="77" t="s">
        <v>15</v>
      </c>
      <c r="C18" s="78"/>
      <c r="D18" s="32" t="s">
        <v>10</v>
      </c>
      <c r="E18" s="44">
        <v>0.14224000000000001</v>
      </c>
      <c r="F18" s="5"/>
    </row>
    <row r="19" spans="1:6" s="12" customFormat="1" ht="19.5" customHeight="1" x14ac:dyDescent="0.25">
      <c r="A19" s="32">
        <v>8</v>
      </c>
      <c r="B19" s="77" t="s">
        <v>16</v>
      </c>
      <c r="C19" s="78"/>
      <c r="D19" s="32" t="s">
        <v>17</v>
      </c>
      <c r="E19" s="44">
        <v>7.3151999999999999</v>
      </c>
      <c r="F19" s="5"/>
    </row>
    <row r="20" spans="1:6" s="12" customFormat="1" ht="19.5" customHeight="1" x14ac:dyDescent="0.25">
      <c r="A20" s="32">
        <v>9</v>
      </c>
      <c r="B20" s="77" t="s">
        <v>18</v>
      </c>
      <c r="C20" s="78"/>
      <c r="D20" s="32" t="s">
        <v>17</v>
      </c>
      <c r="E20" s="44">
        <v>21.4376</v>
      </c>
      <c r="F20" s="5"/>
    </row>
    <row r="21" spans="1:6" s="12" customFormat="1" ht="19.5" customHeight="1" x14ac:dyDescent="0.25">
      <c r="A21" s="32">
        <v>10</v>
      </c>
      <c r="B21" s="77" t="s">
        <v>19</v>
      </c>
      <c r="C21" s="78"/>
      <c r="D21" s="32" t="s">
        <v>17</v>
      </c>
      <c r="E21" s="44">
        <v>11.176</v>
      </c>
      <c r="F21" s="5"/>
    </row>
    <row r="22" spans="1:6" s="12" customFormat="1" ht="19.5" customHeight="1" x14ac:dyDescent="0.25">
      <c r="A22" s="32">
        <v>11</v>
      </c>
      <c r="B22" s="77" t="s">
        <v>20</v>
      </c>
      <c r="C22" s="78"/>
      <c r="D22" s="32" t="s">
        <v>10</v>
      </c>
      <c r="E22" s="44">
        <v>187.55360000000002</v>
      </c>
      <c r="F22" s="5"/>
    </row>
    <row r="23" spans="1:6" s="12" customFormat="1" ht="15.75" customHeight="1" x14ac:dyDescent="0.25">
      <c r="A23" s="33"/>
      <c r="B23" s="27"/>
      <c r="C23" s="27"/>
      <c r="D23" s="33"/>
      <c r="E23" s="33"/>
      <c r="F23" s="27"/>
    </row>
    <row r="24" spans="1:6" s="12" customFormat="1" ht="16.5" x14ac:dyDescent="0.25">
      <c r="D24" s="13"/>
    </row>
    <row r="25" spans="1:6" s="12" customFormat="1" ht="16.5" x14ac:dyDescent="0.25">
      <c r="A25" s="14" t="s">
        <v>65</v>
      </c>
      <c r="D25" s="13"/>
    </row>
    <row r="26" spans="1:6" s="12" customFormat="1" ht="16.5" x14ac:dyDescent="0.25">
      <c r="A26" s="12" t="s">
        <v>66</v>
      </c>
      <c r="D26" s="13" t="s">
        <v>21</v>
      </c>
    </row>
    <row r="27" spans="1:6" s="12" customFormat="1" ht="16.5" x14ac:dyDescent="0.25">
      <c r="A27" s="12" t="s">
        <v>67</v>
      </c>
      <c r="D27" s="13"/>
    </row>
    <row r="28" spans="1:6" s="12" customFormat="1" ht="16.5" x14ac:dyDescent="0.25">
      <c r="A28" s="41" t="s">
        <v>82</v>
      </c>
      <c r="D28" s="62">
        <f>E12</f>
        <v>101499.99999999999</v>
      </c>
      <c r="E28" s="12" t="s">
        <v>6</v>
      </c>
    </row>
    <row r="29" spans="1:6" s="12" customFormat="1" ht="16.5" x14ac:dyDescent="0.25">
      <c r="A29" s="41" t="s">
        <v>74</v>
      </c>
      <c r="D29" s="63">
        <f>Sheet1!E3*0.009</f>
        <v>899.99999999999989</v>
      </c>
      <c r="E29" s="12" t="s">
        <v>6</v>
      </c>
    </row>
    <row r="30" spans="1:6" s="12" customFormat="1" ht="21" x14ac:dyDescent="0.25">
      <c r="A30" s="41" t="s">
        <v>83</v>
      </c>
      <c r="D30" s="70">
        <f>D28-D29</f>
        <v>100599.99999999999</v>
      </c>
      <c r="E30" s="12" t="s">
        <v>6</v>
      </c>
    </row>
    <row r="31" spans="1:6" s="12" customFormat="1" ht="16.5" x14ac:dyDescent="0.25">
      <c r="A31" s="41" t="s">
        <v>75</v>
      </c>
      <c r="D31" s="13"/>
    </row>
    <row r="32" spans="1:6" s="12" customFormat="1" ht="16.5" x14ac:dyDescent="0.25">
      <c r="A32" s="41" t="s">
        <v>76</v>
      </c>
      <c r="D32" s="13"/>
    </row>
    <row r="33" spans="1:6" s="12" customFormat="1" ht="16.5" x14ac:dyDescent="0.25">
      <c r="D33" s="13"/>
    </row>
    <row r="34" spans="1:6" s="12" customFormat="1" ht="16.5" x14ac:dyDescent="0.25">
      <c r="D34" s="13"/>
    </row>
    <row r="35" spans="1:6" s="12" customFormat="1" ht="16.5" x14ac:dyDescent="0.25">
      <c r="D35" s="13"/>
    </row>
    <row r="36" spans="1:6" s="12" customFormat="1" ht="16.5" x14ac:dyDescent="0.25">
      <c r="A36" s="17"/>
      <c r="B36" s="18" t="s">
        <v>22</v>
      </c>
      <c r="D36" s="13"/>
      <c r="E36" s="17" t="s">
        <v>23</v>
      </c>
    </row>
    <row r="37" spans="1:6" s="12" customFormat="1" ht="17.25" x14ac:dyDescent="0.25">
      <c r="A37" s="17"/>
      <c r="B37" s="17"/>
      <c r="D37" s="13"/>
      <c r="E37" s="20" t="s">
        <v>24</v>
      </c>
    </row>
    <row r="38" spans="1:6" s="12" customFormat="1" ht="17.25" x14ac:dyDescent="0.25">
      <c r="A38" s="17"/>
      <c r="B38" s="17"/>
      <c r="D38" s="13"/>
      <c r="E38" s="21"/>
    </row>
    <row r="39" spans="1:6" s="12" customFormat="1" ht="17.25" hidden="1" x14ac:dyDescent="0.25">
      <c r="A39" s="17"/>
      <c r="B39" s="17"/>
      <c r="D39" s="13"/>
      <c r="E39" s="21"/>
    </row>
    <row r="40" spans="1:6" s="12" customFormat="1" ht="17.25" hidden="1" x14ac:dyDescent="0.25">
      <c r="A40" s="17"/>
      <c r="B40" s="17"/>
      <c r="D40" s="13"/>
      <c r="E40" s="21"/>
    </row>
    <row r="41" spans="1:6" s="12" customFormat="1" ht="16.5" x14ac:dyDescent="0.25">
      <c r="D41" s="13"/>
    </row>
    <row r="42" spans="1:6" s="12" customFormat="1" ht="16.5" x14ac:dyDescent="0.25">
      <c r="D42" s="13"/>
    </row>
    <row r="43" spans="1:6" s="12" customFormat="1" ht="16.5" x14ac:dyDescent="0.25">
      <c r="A43" s="14"/>
      <c r="B43" s="14"/>
      <c r="C43" s="14"/>
      <c r="D43" s="79" t="s">
        <v>35</v>
      </c>
      <c r="E43" s="79"/>
      <c r="F43" s="79"/>
    </row>
    <row r="44" spans="1:6" s="12" customFormat="1" ht="16.5" x14ac:dyDescent="0.25">
      <c r="A44" s="14"/>
      <c r="B44" s="14"/>
      <c r="C44" s="14"/>
      <c r="D44" s="22"/>
      <c r="E44" s="14"/>
    </row>
    <row r="45" spans="1:6" s="12" customFormat="1" ht="16.5" x14ac:dyDescent="0.25">
      <c r="A45" s="14"/>
      <c r="B45" s="14"/>
      <c r="C45" s="14"/>
      <c r="D45" s="22"/>
      <c r="E45" s="14"/>
    </row>
    <row r="46" spans="1:6" s="12" customFormat="1" ht="16.5" x14ac:dyDescent="0.25">
      <c r="A46" s="14"/>
      <c r="B46" s="14"/>
      <c r="C46" s="14"/>
      <c r="D46" s="66"/>
      <c r="E46" s="14"/>
    </row>
    <row r="47" spans="1:6" s="12" customFormat="1" ht="16.5" x14ac:dyDescent="0.25">
      <c r="A47" s="14" t="s">
        <v>62</v>
      </c>
      <c r="D47" s="13"/>
    </row>
    <row r="48" spans="1:6" s="9" customFormat="1" ht="27" customHeight="1" x14ac:dyDescent="0.25">
      <c r="A48" s="45" t="s">
        <v>25</v>
      </c>
      <c r="B48" s="45" t="s">
        <v>26</v>
      </c>
      <c r="C48" s="45" t="s">
        <v>27</v>
      </c>
      <c r="D48" s="45" t="s">
        <v>28</v>
      </c>
      <c r="E48" s="45" t="s">
        <v>29</v>
      </c>
      <c r="F48" s="45" t="s">
        <v>30</v>
      </c>
    </row>
    <row r="49" spans="1:6" ht="23.25" customHeight="1" x14ac:dyDescent="0.25">
      <c r="A49" s="46"/>
      <c r="B49" s="46"/>
      <c r="C49" s="46"/>
      <c r="D49" s="47"/>
      <c r="E49" s="46"/>
      <c r="F49" s="46"/>
    </row>
    <row r="50" spans="1:6" ht="23.25" customHeight="1" x14ac:dyDescent="0.25">
      <c r="A50" s="46"/>
      <c r="B50" s="46"/>
      <c r="C50" s="46"/>
      <c r="D50" s="47"/>
      <c r="E50" s="46"/>
      <c r="F50" s="46"/>
    </row>
    <row r="51" spans="1:6" ht="23.25" customHeight="1" x14ac:dyDescent="0.25">
      <c r="A51" s="46"/>
      <c r="B51" s="46"/>
      <c r="C51" s="46"/>
      <c r="D51" s="47"/>
      <c r="E51" s="46"/>
      <c r="F51" s="46"/>
    </row>
    <row r="52" spans="1:6" ht="23.25" customHeight="1" x14ac:dyDescent="0.25">
      <c r="A52" s="46"/>
      <c r="B52" s="46"/>
      <c r="C52" s="46"/>
      <c r="D52" s="47"/>
      <c r="E52" s="46"/>
      <c r="F52" s="46"/>
    </row>
    <row r="53" spans="1:6" ht="23.25" customHeight="1" x14ac:dyDescent="0.25">
      <c r="A53" s="46"/>
      <c r="B53" s="46"/>
      <c r="C53" s="46"/>
      <c r="D53" s="47"/>
      <c r="E53" s="46"/>
      <c r="F53" s="46"/>
    </row>
    <row r="54" spans="1:6" ht="23.25" customHeight="1" x14ac:dyDescent="0.25">
      <c r="A54" s="46"/>
      <c r="B54" s="46"/>
      <c r="C54" s="46"/>
      <c r="D54" s="47"/>
      <c r="E54" s="46"/>
      <c r="F54" s="46"/>
    </row>
    <row r="55" spans="1:6" ht="23.25" customHeight="1" x14ac:dyDescent="0.25">
      <c r="A55" s="46"/>
      <c r="B55" s="46"/>
      <c r="C55" s="46"/>
      <c r="D55" s="47"/>
      <c r="E55" s="46"/>
      <c r="F55" s="46"/>
    </row>
    <row r="56" spans="1:6" ht="23.25" customHeight="1" x14ac:dyDescent="0.25">
      <c r="A56" s="46"/>
      <c r="B56" s="46"/>
      <c r="C56" s="46"/>
      <c r="D56" s="47"/>
      <c r="E56" s="46"/>
      <c r="F56" s="46"/>
    </row>
    <row r="57" spans="1:6" ht="23.25" customHeight="1" x14ac:dyDescent="0.25">
      <c r="A57" s="46"/>
      <c r="B57" s="46"/>
      <c r="C57" s="46"/>
      <c r="D57" s="47"/>
      <c r="E57" s="46"/>
      <c r="F57" s="46"/>
    </row>
    <row r="58" spans="1:6" ht="23.25" customHeight="1" x14ac:dyDescent="0.25">
      <c r="A58" s="46"/>
      <c r="B58" s="46"/>
      <c r="C58" s="46"/>
      <c r="D58" s="47"/>
      <c r="E58" s="46"/>
      <c r="F58" s="46"/>
    </row>
    <row r="59" spans="1:6" ht="23.25" customHeight="1" x14ac:dyDescent="0.25">
      <c r="A59" s="46"/>
      <c r="B59" s="46"/>
      <c r="C59" s="46"/>
      <c r="D59" s="47"/>
      <c r="E59" s="46"/>
      <c r="F59" s="46"/>
    </row>
    <row r="60" spans="1:6" ht="23.25" customHeight="1" x14ac:dyDescent="0.25">
      <c r="A60" s="46"/>
      <c r="B60" s="46"/>
      <c r="C60" s="46"/>
      <c r="D60" s="47"/>
      <c r="E60" s="46"/>
      <c r="F60" s="46"/>
    </row>
    <row r="61" spans="1:6" ht="23.25" customHeight="1" x14ac:dyDescent="0.25">
      <c r="A61" s="48" t="s">
        <v>31</v>
      </c>
      <c r="B61" s="48"/>
      <c r="C61" s="46"/>
      <c r="D61" s="47"/>
      <c r="E61" s="46"/>
      <c r="F61" s="46"/>
    </row>
    <row r="62" spans="1:6" ht="15.75" x14ac:dyDescent="0.25">
      <c r="A62" s="3"/>
    </row>
    <row r="63" spans="1:6" ht="15.75" x14ac:dyDescent="0.25">
      <c r="A63" s="4"/>
    </row>
    <row r="64" spans="1:6" ht="15.75" x14ac:dyDescent="0.25">
      <c r="A64" s="3" t="s">
        <v>32</v>
      </c>
      <c r="D64" s="3" t="s">
        <v>33</v>
      </c>
      <c r="E64" s="74" t="s">
        <v>23</v>
      </c>
      <c r="F64" s="74"/>
    </row>
    <row r="65" spans="1:6" ht="15.75" x14ac:dyDescent="0.25">
      <c r="A65" s="3"/>
      <c r="D65" s="3"/>
      <c r="E65" s="73" t="s">
        <v>24</v>
      </c>
      <c r="F65" s="73"/>
    </row>
    <row r="66" spans="1:6" ht="15.75" x14ac:dyDescent="0.25">
      <c r="A66" s="2"/>
    </row>
    <row r="67" spans="1:6" ht="15.75" x14ac:dyDescent="0.25">
      <c r="A67" s="1"/>
    </row>
    <row r="68" spans="1:6" ht="15.75" x14ac:dyDescent="0.25">
      <c r="A68" s="1"/>
    </row>
    <row r="69" spans="1:6" ht="15.75" x14ac:dyDescent="0.25">
      <c r="A69" s="1"/>
    </row>
    <row r="70" spans="1:6" ht="15.75" x14ac:dyDescent="0.25">
      <c r="A70" s="1"/>
    </row>
    <row r="71" spans="1:6" ht="15.75" x14ac:dyDescent="0.25">
      <c r="A71" s="1"/>
    </row>
    <row r="72" spans="1:6" ht="15.75" x14ac:dyDescent="0.25">
      <c r="A72" s="1"/>
    </row>
    <row r="73" spans="1:6" ht="15.75" x14ac:dyDescent="0.25">
      <c r="A73" s="1"/>
    </row>
    <row r="74" spans="1:6" ht="15.75" x14ac:dyDescent="0.25">
      <c r="A74" s="1"/>
    </row>
    <row r="75" spans="1:6" ht="15.75" x14ac:dyDescent="0.25">
      <c r="A75" s="1"/>
    </row>
    <row r="76" spans="1:6" ht="15.75" x14ac:dyDescent="0.25">
      <c r="A76" s="1"/>
    </row>
    <row r="77" spans="1:6" ht="15.75" x14ac:dyDescent="0.25">
      <c r="A77" s="1"/>
    </row>
    <row r="78" spans="1:6" ht="15.75" x14ac:dyDescent="0.25">
      <c r="A78" s="1"/>
    </row>
    <row r="79" spans="1:6" ht="15.75" x14ac:dyDescent="0.25">
      <c r="A79" s="1"/>
    </row>
    <row r="80" spans="1:6" ht="15.75" x14ac:dyDescent="0.25">
      <c r="A80" s="1"/>
    </row>
  </sheetData>
  <mergeCells count="17">
    <mergeCell ref="B22:C22"/>
    <mergeCell ref="A4:F4"/>
    <mergeCell ref="A5:F5"/>
    <mergeCell ref="E65:F65"/>
    <mergeCell ref="E64:F64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D43:F43"/>
    <mergeCell ref="B21:C21"/>
  </mergeCells>
  <printOptions horizontalCentered="1"/>
  <pageMargins left="0.5" right="0.3" top="0.3" bottom="0.1" header="0.3" footer="0.3"/>
  <pageSetup fitToHeight="0" orientation="portrait" r:id="rId1"/>
  <headerFooter>
    <oddFooter>&amp;L&amp;"-,Italic"&amp;K01+034Habeco-P                         Mã hiệu: QT.01/HABECO-P-03                            Số ban hành:4/0                   &amp;C   &amp;R&amp;"-,Italic"&amp;K01+034Ngày:01/04/2024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4"/>
  <sheetViews>
    <sheetView view="pageBreakPreview" zoomScaleNormal="100" zoomScaleSheetLayoutView="100" workbookViewId="0">
      <selection activeCell="A8" sqref="A8"/>
    </sheetView>
  </sheetViews>
  <sheetFormatPr defaultRowHeight="15" x14ac:dyDescent="0.25"/>
  <cols>
    <col min="1" max="1" width="11.5703125" style="6" customWidth="1"/>
    <col min="2" max="2" width="12.140625" style="6" customWidth="1"/>
    <col min="3" max="3" width="11" style="6" customWidth="1"/>
    <col min="4" max="4" width="11.140625" style="7" customWidth="1"/>
    <col min="5" max="5" width="13" style="6" customWidth="1"/>
    <col min="6" max="6" width="17" style="6" customWidth="1"/>
    <col min="7" max="7" width="11.85546875" style="6" customWidth="1"/>
    <col min="8" max="8" width="8.28515625" style="6" customWidth="1"/>
    <col min="9" max="9" width="15" style="6" customWidth="1"/>
    <col min="10" max="16384" width="9.140625" style="6"/>
  </cols>
  <sheetData>
    <row r="1" spans="1:9" x14ac:dyDescent="0.25">
      <c r="I1" s="8">
        <f>+In!$G$1</f>
        <v>46178</v>
      </c>
    </row>
    <row r="2" spans="1:9" x14ac:dyDescent="0.25">
      <c r="G2" s="11"/>
      <c r="I2" s="10">
        <f>+In!$G$2</f>
        <v>26</v>
      </c>
    </row>
    <row r="4" spans="1:9" ht="25.5" customHeight="1" x14ac:dyDescent="0.25">
      <c r="A4" s="80" t="s">
        <v>36</v>
      </c>
      <c r="B4" s="80"/>
      <c r="C4" s="80"/>
      <c r="D4" s="80"/>
      <c r="E4" s="80"/>
      <c r="F4" s="80"/>
      <c r="G4" s="80"/>
      <c r="H4" s="80"/>
    </row>
    <row r="5" spans="1:9" s="12" customFormat="1" ht="19.5" customHeight="1" x14ac:dyDescent="0.25">
      <c r="A5" s="72" t="str">
        <f>"Ngày "&amp;DAY($I$1)&amp;" tháng "&amp;MONTH($I$1)&amp;" năm "&amp;YEAR($I$1)</f>
        <v>Ngày 5 tháng 6 năm 2026</v>
      </c>
      <c r="B5" s="72"/>
      <c r="C5" s="72"/>
      <c r="D5" s="72"/>
      <c r="E5" s="72"/>
      <c r="F5" s="72"/>
      <c r="G5" s="72"/>
      <c r="H5" s="72"/>
    </row>
    <row r="6" spans="1:9" s="12" customFormat="1" ht="4.5" customHeight="1" x14ac:dyDescent="0.25"/>
    <row r="7" spans="1:9" s="12" customFormat="1" ht="16.5" x14ac:dyDescent="0.25">
      <c r="A7" s="12" t="str">
        <f>+In!$A$7</f>
        <v xml:space="preserve">Tên sản phẩm:  </v>
      </c>
      <c r="C7" s="12" t="str">
        <f>+In!$C$7</f>
        <v>Hộp 24 lon bia HN Vàng</v>
      </c>
      <c r="D7" s="13"/>
    </row>
    <row r="8" spans="1:9" s="12" customFormat="1" ht="16.5" x14ac:dyDescent="0.25">
      <c r="A8" s="12" t="str">
        <f>+In!$A$8</f>
        <v>Lệnh sản xuất:   FHT-26</v>
      </c>
      <c r="D8" s="13"/>
    </row>
    <row r="9" spans="1:9" s="12" customFormat="1" ht="8.25" customHeight="1" x14ac:dyDescent="0.25">
      <c r="D9" s="13"/>
    </row>
    <row r="10" spans="1:9" s="12" customFormat="1" ht="16.5" x14ac:dyDescent="0.25">
      <c r="A10" s="14" t="s">
        <v>42</v>
      </c>
      <c r="D10" s="13"/>
    </row>
    <row r="11" spans="1:9" s="16" customFormat="1" ht="16.5" x14ac:dyDescent="0.25">
      <c r="A11" s="29" t="s">
        <v>37</v>
      </c>
      <c r="B11" s="12"/>
      <c r="C11" s="12"/>
      <c r="D11" s="13"/>
      <c r="E11" s="12"/>
      <c r="F11" s="12"/>
    </row>
    <row r="12" spans="1:9" s="12" customFormat="1" ht="15.75" customHeight="1" x14ac:dyDescent="0.25">
      <c r="A12" s="12" t="s">
        <v>63</v>
      </c>
      <c r="D12" s="13"/>
    </row>
    <row r="13" spans="1:9" s="12" customFormat="1" ht="21" x14ac:dyDescent="0.25">
      <c r="A13" s="28" t="s">
        <v>85</v>
      </c>
      <c r="D13" s="65">
        <f>In!D30</f>
        <v>100599.99999999999</v>
      </c>
      <c r="E13" s="12" t="s">
        <v>6</v>
      </c>
      <c r="F13" s="12" t="s">
        <v>84</v>
      </c>
    </row>
    <row r="14" spans="1:9" s="12" customFormat="1" ht="16.5" x14ac:dyDescent="0.25">
      <c r="A14" s="17"/>
      <c r="B14" s="18" t="s">
        <v>22</v>
      </c>
      <c r="D14" s="13"/>
      <c r="F14" s="19" t="s">
        <v>23</v>
      </c>
      <c r="G14" s="19"/>
    </row>
    <row r="15" spans="1:9" s="12" customFormat="1" ht="17.25" x14ac:dyDescent="0.25">
      <c r="A15" s="17"/>
      <c r="B15" s="17"/>
      <c r="D15" s="13"/>
      <c r="F15" s="20" t="s">
        <v>24</v>
      </c>
      <c r="G15" s="20"/>
    </row>
    <row r="16" spans="1:9" s="12" customFormat="1" ht="17.25" x14ac:dyDescent="0.25">
      <c r="A16" s="17"/>
      <c r="B16" s="17"/>
      <c r="D16" s="13"/>
      <c r="E16" s="21"/>
    </row>
    <row r="17" spans="1:8" s="12" customFormat="1" ht="16.5" x14ac:dyDescent="0.25">
      <c r="D17" s="13"/>
    </row>
    <row r="18" spans="1:8" s="12" customFormat="1" ht="16.5" x14ac:dyDescent="0.25">
      <c r="D18" s="13"/>
    </row>
    <row r="19" spans="1:8" s="12" customFormat="1" ht="16.5" x14ac:dyDescent="0.25">
      <c r="A19" s="14"/>
      <c r="B19" s="14"/>
      <c r="C19" s="14"/>
      <c r="D19" s="22"/>
      <c r="E19" s="79" t="s">
        <v>35</v>
      </c>
      <c r="F19" s="79"/>
      <c r="G19" s="79"/>
    </row>
    <row r="20" spans="1:8" s="12" customFormat="1" ht="16.5" x14ac:dyDescent="0.25">
      <c r="A20" s="14" t="s">
        <v>62</v>
      </c>
      <c r="D20" s="13"/>
    </row>
    <row r="21" spans="1:8" s="16" customFormat="1" ht="49.5" customHeight="1" x14ac:dyDescent="0.25">
      <c r="A21" s="49" t="s">
        <v>38</v>
      </c>
      <c r="B21" s="49" t="s">
        <v>45</v>
      </c>
      <c r="C21" s="49" t="s">
        <v>39</v>
      </c>
      <c r="D21" s="49" t="s">
        <v>40</v>
      </c>
      <c r="E21" s="49" t="s">
        <v>3</v>
      </c>
      <c r="F21" s="49" t="s">
        <v>41</v>
      </c>
      <c r="G21" s="49" t="s">
        <v>43</v>
      </c>
      <c r="H21" s="49" t="s">
        <v>44</v>
      </c>
    </row>
    <row r="22" spans="1:8" s="12" customFormat="1" ht="21.75" customHeight="1" x14ac:dyDescent="0.25">
      <c r="A22" s="49"/>
      <c r="B22" s="49"/>
      <c r="C22" s="49"/>
      <c r="D22" s="50"/>
      <c r="E22" s="49"/>
      <c r="F22" s="49"/>
      <c r="G22" s="49"/>
      <c r="H22" s="49"/>
    </row>
    <row r="23" spans="1:8" s="12" customFormat="1" ht="21.75" customHeight="1" x14ac:dyDescent="0.25">
      <c r="A23" s="51"/>
      <c r="B23" s="51"/>
      <c r="C23" s="51"/>
      <c r="D23" s="52"/>
      <c r="E23" s="51"/>
      <c r="F23" s="51"/>
      <c r="G23" s="5"/>
      <c r="H23" s="5"/>
    </row>
    <row r="24" spans="1:8" s="12" customFormat="1" ht="21.75" customHeight="1" x14ac:dyDescent="0.25">
      <c r="A24" s="51"/>
      <c r="B24" s="51"/>
      <c r="C24" s="51"/>
      <c r="D24" s="52"/>
      <c r="E24" s="51"/>
      <c r="F24" s="51"/>
      <c r="G24" s="5"/>
      <c r="H24" s="5"/>
    </row>
    <row r="25" spans="1:8" s="12" customFormat="1" ht="21.75" customHeight="1" x14ac:dyDescent="0.25">
      <c r="A25" s="51"/>
      <c r="B25" s="51"/>
      <c r="C25" s="51"/>
      <c r="D25" s="52"/>
      <c r="E25" s="51"/>
      <c r="F25" s="51"/>
      <c r="G25" s="5"/>
      <c r="H25" s="5"/>
    </row>
    <row r="26" spans="1:8" s="12" customFormat="1" ht="21.75" customHeight="1" x14ac:dyDescent="0.25">
      <c r="A26" s="51"/>
      <c r="B26" s="51"/>
      <c r="C26" s="51"/>
      <c r="D26" s="52"/>
      <c r="E26" s="51"/>
      <c r="F26" s="51"/>
      <c r="G26" s="5"/>
      <c r="H26" s="5"/>
    </row>
    <row r="27" spans="1:8" s="12" customFormat="1" ht="21.75" customHeight="1" x14ac:dyDescent="0.25">
      <c r="A27" s="51"/>
      <c r="B27" s="51"/>
      <c r="C27" s="51"/>
      <c r="D27" s="52"/>
      <c r="E27" s="51"/>
      <c r="F27" s="51"/>
      <c r="G27" s="5"/>
      <c r="H27" s="5"/>
    </row>
    <row r="28" spans="1:8" s="12" customFormat="1" ht="21.75" customHeight="1" x14ac:dyDescent="0.25">
      <c r="A28" s="51"/>
      <c r="B28" s="51"/>
      <c r="C28" s="51"/>
      <c r="D28" s="52"/>
      <c r="E28" s="51"/>
      <c r="F28" s="51"/>
      <c r="G28" s="5"/>
      <c r="H28" s="5"/>
    </row>
    <row r="29" spans="1:8" s="12" customFormat="1" ht="21.75" customHeight="1" x14ac:dyDescent="0.25">
      <c r="A29" s="51"/>
      <c r="B29" s="51"/>
      <c r="C29" s="51"/>
      <c r="D29" s="52"/>
      <c r="E29" s="51"/>
      <c r="F29" s="51"/>
      <c r="G29" s="5"/>
      <c r="H29" s="5"/>
    </row>
    <row r="30" spans="1:8" s="12" customFormat="1" ht="21.75" customHeight="1" x14ac:dyDescent="0.25">
      <c r="A30" s="51"/>
      <c r="B30" s="51"/>
      <c r="C30" s="51"/>
      <c r="D30" s="52"/>
      <c r="E30" s="51"/>
      <c r="F30" s="51"/>
      <c r="G30" s="5"/>
      <c r="H30" s="5"/>
    </row>
    <row r="31" spans="1:8" s="12" customFormat="1" ht="21.75" customHeight="1" x14ac:dyDescent="0.25">
      <c r="A31" s="51"/>
      <c r="B31" s="51"/>
      <c r="C31" s="51"/>
      <c r="D31" s="52"/>
      <c r="E31" s="51"/>
      <c r="F31" s="51"/>
      <c r="G31" s="5"/>
      <c r="H31" s="5"/>
    </row>
    <row r="32" spans="1:8" s="12" customFormat="1" ht="21.75" customHeight="1" x14ac:dyDescent="0.25">
      <c r="A32" s="51"/>
      <c r="B32" s="51"/>
      <c r="C32" s="51"/>
      <c r="D32" s="52"/>
      <c r="E32" s="51"/>
      <c r="F32" s="51"/>
      <c r="G32" s="5"/>
      <c r="H32" s="5"/>
    </row>
    <row r="33" spans="1:8" s="12" customFormat="1" ht="21.75" customHeight="1" x14ac:dyDescent="0.25">
      <c r="A33" s="51"/>
      <c r="B33" s="51"/>
      <c r="C33" s="51"/>
      <c r="D33" s="52"/>
      <c r="E33" s="51"/>
      <c r="F33" s="51"/>
      <c r="G33" s="5"/>
      <c r="H33" s="5"/>
    </row>
    <row r="34" spans="1:8" s="12" customFormat="1" ht="21.75" customHeight="1" x14ac:dyDescent="0.25">
      <c r="A34" s="51"/>
      <c r="B34" s="51"/>
      <c r="C34" s="51"/>
      <c r="D34" s="52"/>
      <c r="E34" s="51"/>
      <c r="F34" s="51"/>
      <c r="G34" s="5"/>
      <c r="H34" s="5"/>
    </row>
    <row r="35" spans="1:8" s="12" customFormat="1" ht="16.5" customHeight="1" x14ac:dyDescent="0.25">
      <c r="A35" s="53" t="s">
        <v>31</v>
      </c>
      <c r="B35" s="53"/>
      <c r="C35" s="51"/>
      <c r="D35" s="52"/>
      <c r="E35" s="51"/>
      <c r="F35" s="51"/>
      <c r="G35" s="5"/>
      <c r="H35" s="5"/>
    </row>
    <row r="36" spans="1:8" s="12" customFormat="1" ht="16.5" x14ac:dyDescent="0.25">
      <c r="A36" s="17"/>
      <c r="D36" s="13"/>
    </row>
    <row r="37" spans="1:8" s="12" customFormat="1" ht="16.5" x14ac:dyDescent="0.25">
      <c r="A37" s="30"/>
      <c r="D37" s="13"/>
    </row>
    <row r="38" spans="1:8" s="12" customFormat="1" ht="16.5" x14ac:dyDescent="0.25">
      <c r="B38" s="17" t="s">
        <v>32</v>
      </c>
      <c r="D38" s="17"/>
      <c r="F38" s="19" t="s">
        <v>23</v>
      </c>
      <c r="G38" s="19"/>
    </row>
    <row r="39" spans="1:8" s="12" customFormat="1" ht="17.25" x14ac:dyDescent="0.25">
      <c r="A39" s="17"/>
      <c r="D39" s="17"/>
      <c r="F39" s="20" t="s">
        <v>24</v>
      </c>
      <c r="G39" s="20"/>
    </row>
    <row r="40" spans="1:8" s="12" customFormat="1" ht="16.5" x14ac:dyDescent="0.25">
      <c r="A40" s="14"/>
      <c r="D40" s="13"/>
    </row>
    <row r="41" spans="1:8" s="12" customFormat="1" ht="16.5" x14ac:dyDescent="0.25">
      <c r="D41" s="13"/>
    </row>
    <row r="42" spans="1:8" s="12" customFormat="1" ht="16.5" x14ac:dyDescent="0.25">
      <c r="D42" s="13"/>
    </row>
    <row r="43" spans="1:8" s="12" customFormat="1" ht="16.5" x14ac:dyDescent="0.25">
      <c r="D43" s="13"/>
    </row>
    <row r="44" spans="1:8" s="12" customFormat="1" ht="16.5" x14ac:dyDescent="0.25">
      <c r="D44" s="13"/>
    </row>
    <row r="45" spans="1:8" s="12" customFormat="1" ht="16.5" x14ac:dyDescent="0.25">
      <c r="D45" s="13"/>
    </row>
    <row r="46" spans="1:8" ht="15.75" x14ac:dyDescent="0.25">
      <c r="A46" s="1"/>
    </row>
    <row r="47" spans="1:8" ht="15.75" x14ac:dyDescent="0.25">
      <c r="A47" s="1"/>
    </row>
    <row r="48" spans="1:8" ht="15.75" x14ac:dyDescent="0.25">
      <c r="A48" s="1"/>
    </row>
    <row r="49" spans="1:1" ht="15.75" x14ac:dyDescent="0.25">
      <c r="A49" s="1"/>
    </row>
    <row r="50" spans="1:1" ht="15.75" x14ac:dyDescent="0.25">
      <c r="A50" s="1"/>
    </row>
    <row r="51" spans="1:1" ht="15.75" x14ac:dyDescent="0.25">
      <c r="A51" s="1"/>
    </row>
    <row r="52" spans="1:1" ht="15.75" x14ac:dyDescent="0.25">
      <c r="A52" s="1"/>
    </row>
    <row r="53" spans="1:1" ht="15.75" x14ac:dyDescent="0.25">
      <c r="A53" s="1"/>
    </row>
    <row r="54" spans="1:1" ht="15.75" x14ac:dyDescent="0.25">
      <c r="A54" s="1"/>
    </row>
  </sheetData>
  <mergeCells count="3">
    <mergeCell ref="A4:H4"/>
    <mergeCell ref="A5:H5"/>
    <mergeCell ref="E19:G19"/>
  </mergeCells>
  <printOptions horizontalCentered="1"/>
  <pageMargins left="0.51181102362204722" right="0.31496062992125984" top="0.31496062992125984" bottom="0.11811023622047245" header="0.31496062992125984" footer="0.31496062992125984"/>
  <pageSetup fitToHeight="0" orientation="portrait" r:id="rId1"/>
  <headerFooter>
    <oddFooter>&amp;L&amp;"-,Italic"&amp;K01+033Habeco-P                         Mã hiệu: QT.01/HABECO-P-05                           Số ban hành:4/0                   &amp;C   &amp;R&amp;"-,Italic"&amp;K01+033Ngày:01/04/2024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6"/>
  <sheetViews>
    <sheetView view="pageBreakPreview" zoomScaleNormal="100" zoomScaleSheetLayoutView="100" workbookViewId="0">
      <selection activeCell="A9" sqref="A9"/>
    </sheetView>
  </sheetViews>
  <sheetFormatPr defaultRowHeight="15" x14ac:dyDescent="0.25"/>
  <cols>
    <col min="1" max="1" width="11.5703125" style="6" customWidth="1"/>
    <col min="2" max="2" width="12.5703125" style="6" customWidth="1"/>
    <col min="3" max="3" width="11.7109375" style="6" customWidth="1"/>
    <col min="4" max="4" width="13.7109375" style="7" customWidth="1"/>
    <col min="5" max="5" width="12.5703125" style="6" customWidth="1"/>
    <col min="6" max="6" width="14.7109375" style="6" customWidth="1"/>
    <col min="7" max="7" width="11.85546875" style="6" customWidth="1"/>
    <col min="8" max="8" width="15" style="6" customWidth="1"/>
    <col min="9" max="16384" width="9.140625" style="6"/>
  </cols>
  <sheetData>
    <row r="1" spans="1:8" x14ac:dyDescent="0.25">
      <c r="H1" s="8">
        <f>+In!$G$1</f>
        <v>46178</v>
      </c>
    </row>
    <row r="2" spans="1:8" x14ac:dyDescent="0.25">
      <c r="G2" s="11"/>
      <c r="H2" s="10">
        <f>+In!$G$2</f>
        <v>26</v>
      </c>
    </row>
    <row r="4" spans="1:8" ht="28.5" customHeight="1" x14ac:dyDescent="0.25">
      <c r="A4" s="71" t="s">
        <v>46</v>
      </c>
      <c r="B4" s="71"/>
      <c r="C4" s="71"/>
      <c r="D4" s="71"/>
      <c r="E4" s="71"/>
      <c r="F4" s="71"/>
      <c r="G4" s="71"/>
    </row>
    <row r="5" spans="1:8" s="12" customFormat="1" ht="19.5" customHeight="1" x14ac:dyDescent="0.25">
      <c r="A5" s="72" t="str">
        <f>"Ngày "&amp;DAY($H$1)&amp;" tháng "&amp;MONTH($H$1)&amp;" năm "&amp;YEAR($H$1)</f>
        <v>Ngày 5 tháng 6 năm 2026</v>
      </c>
      <c r="B5" s="72"/>
      <c r="C5" s="72"/>
      <c r="D5" s="72"/>
      <c r="E5" s="72"/>
      <c r="F5" s="72"/>
      <c r="G5" s="72"/>
    </row>
    <row r="6" spans="1:8" s="12" customFormat="1" ht="4.5" customHeight="1" x14ac:dyDescent="0.25"/>
    <row r="7" spans="1:8" s="12" customFormat="1" ht="16.5" x14ac:dyDescent="0.25">
      <c r="A7" s="12" t="str">
        <f>+In!$A$7</f>
        <v xml:space="preserve">Tên sản phẩm:  </v>
      </c>
      <c r="C7" s="12" t="str">
        <f>+In!$C$7</f>
        <v>Hộp 24 lon bia HN Vàng</v>
      </c>
      <c r="D7" s="13"/>
    </row>
    <row r="8" spans="1:8" s="12" customFormat="1" ht="20.25" customHeight="1" x14ac:dyDescent="0.25">
      <c r="A8" s="12" t="str">
        <f>KCS!A8</f>
        <v>Lệnh sản xuất:   FHT-26</v>
      </c>
      <c r="D8" s="13"/>
    </row>
    <row r="9" spans="1:8" s="12" customFormat="1" ht="17.25" x14ac:dyDescent="0.3">
      <c r="A9" s="14" t="s">
        <v>47</v>
      </c>
      <c r="B9" s="15"/>
      <c r="C9" s="15"/>
      <c r="D9" s="13"/>
    </row>
    <row r="10" spans="1:8" s="16" customFormat="1" ht="17.25" x14ac:dyDescent="0.3">
      <c r="A10" s="42" t="s">
        <v>86</v>
      </c>
      <c r="B10" s="15"/>
      <c r="C10" s="67">
        <f>KCS!D13</f>
        <v>100599.99999999999</v>
      </c>
      <c r="D10" s="12" t="s">
        <v>6</v>
      </c>
      <c r="E10" s="12"/>
      <c r="F10" s="12"/>
    </row>
    <row r="11" spans="1:8" s="12" customFormat="1" ht="15.75" customHeight="1" x14ac:dyDescent="0.25">
      <c r="A11" s="41" t="s">
        <v>88</v>
      </c>
      <c r="D11" s="13"/>
      <c r="E11" s="12" t="s">
        <v>87</v>
      </c>
      <c r="F11" s="68">
        <f>C10</f>
        <v>100599.99999999999</v>
      </c>
      <c r="G11" s="12" t="s">
        <v>8</v>
      </c>
    </row>
    <row r="12" spans="1:8" s="12" customFormat="1" ht="17.25" x14ac:dyDescent="0.3">
      <c r="A12" s="41" t="s">
        <v>77</v>
      </c>
      <c r="B12" s="15"/>
      <c r="C12" s="15"/>
      <c r="D12" s="13"/>
    </row>
    <row r="13" spans="1:8" s="12" customFormat="1" ht="17.25" x14ac:dyDescent="0.3">
      <c r="A13" s="14" t="s">
        <v>48</v>
      </c>
      <c r="B13" s="15"/>
      <c r="C13" s="15"/>
      <c r="D13" s="13"/>
    </row>
    <row r="14" spans="1:8" s="12" customFormat="1" ht="17.25" x14ac:dyDescent="0.3">
      <c r="A14" s="12" t="s">
        <v>49</v>
      </c>
      <c r="B14" s="15"/>
      <c r="C14" s="15"/>
      <c r="D14" s="13"/>
    </row>
    <row r="15" spans="1:8" s="12" customFormat="1" ht="17.25" x14ac:dyDescent="0.3">
      <c r="A15" s="12" t="s">
        <v>50</v>
      </c>
      <c r="B15" s="15"/>
      <c r="C15" s="15"/>
      <c r="D15" s="62">
        <f>C10*0.003-2</f>
        <v>299.79999999999995</v>
      </c>
      <c r="E15" s="12" t="s">
        <v>6</v>
      </c>
    </row>
    <row r="16" spans="1:8" s="12" customFormat="1" ht="21" x14ac:dyDescent="0.3">
      <c r="A16" s="41" t="s">
        <v>89</v>
      </c>
      <c r="B16" s="15"/>
      <c r="C16" s="15"/>
      <c r="D16" s="69">
        <f>C10-D15</f>
        <v>100300.19999999998</v>
      </c>
      <c r="E16" s="12" t="s">
        <v>6</v>
      </c>
    </row>
    <row r="17" spans="1:7" s="12" customFormat="1" ht="17.25" x14ac:dyDescent="0.3">
      <c r="A17" s="41" t="s">
        <v>78</v>
      </c>
      <c r="B17" s="15"/>
      <c r="C17" s="15"/>
      <c r="D17" s="13"/>
    </row>
    <row r="18" spans="1:7" s="12" customFormat="1" ht="17.25" x14ac:dyDescent="0.3">
      <c r="A18" s="41" t="s">
        <v>79</v>
      </c>
      <c r="B18" s="15"/>
      <c r="C18" s="15"/>
      <c r="D18" s="13"/>
    </row>
    <row r="19" spans="1:7" s="12" customFormat="1" ht="6" customHeight="1" x14ac:dyDescent="0.25">
      <c r="A19" s="28"/>
      <c r="D19" s="13"/>
    </row>
    <row r="20" spans="1:7" s="12" customFormat="1" ht="16.5" x14ac:dyDescent="0.25">
      <c r="A20" s="17"/>
      <c r="B20" s="18" t="s">
        <v>22</v>
      </c>
      <c r="D20" s="13"/>
      <c r="F20" s="19" t="s">
        <v>23</v>
      </c>
      <c r="G20" s="19"/>
    </row>
    <row r="21" spans="1:7" s="12" customFormat="1" ht="17.25" x14ac:dyDescent="0.25">
      <c r="A21" s="17"/>
      <c r="B21" s="17"/>
      <c r="D21" s="13"/>
      <c r="F21" s="20" t="s">
        <v>24</v>
      </c>
      <c r="G21" s="20"/>
    </row>
    <row r="22" spans="1:7" s="12" customFormat="1" ht="17.25" x14ac:dyDescent="0.25">
      <c r="A22" s="17"/>
      <c r="B22" s="17"/>
      <c r="D22" s="13"/>
      <c r="E22" s="21"/>
    </row>
    <row r="23" spans="1:7" s="12" customFormat="1" ht="16.5" x14ac:dyDescent="0.25">
      <c r="D23" s="13"/>
    </row>
    <row r="24" spans="1:7" s="12" customFormat="1" ht="16.5" x14ac:dyDescent="0.25">
      <c r="D24" s="13"/>
    </row>
    <row r="25" spans="1:7" s="12" customFormat="1" ht="16.5" x14ac:dyDescent="0.25">
      <c r="A25" s="14"/>
      <c r="B25" s="14"/>
      <c r="C25" s="14"/>
      <c r="D25" s="22"/>
      <c r="F25" s="23" t="s">
        <v>35</v>
      </c>
    </row>
    <row r="26" spans="1:7" s="12" customFormat="1" ht="16.5" x14ac:dyDescent="0.25">
      <c r="A26" s="14" t="s">
        <v>62</v>
      </c>
      <c r="D26" s="13"/>
    </row>
    <row r="27" spans="1:7" s="12" customFormat="1" ht="16.5" x14ac:dyDescent="0.25">
      <c r="A27" s="12" t="s">
        <v>51</v>
      </c>
      <c r="D27" s="13"/>
    </row>
    <row r="28" spans="1:7" s="16" customFormat="1" ht="49.5" customHeight="1" x14ac:dyDescent="0.25">
      <c r="A28" s="49" t="s">
        <v>25</v>
      </c>
      <c r="B28" s="49" t="s">
        <v>26</v>
      </c>
      <c r="C28" s="49" t="s">
        <v>52</v>
      </c>
      <c r="D28" s="49" t="s">
        <v>53</v>
      </c>
      <c r="E28" s="49" t="s">
        <v>54</v>
      </c>
      <c r="F28" s="49" t="s">
        <v>29</v>
      </c>
      <c r="G28" s="49" t="s">
        <v>30</v>
      </c>
    </row>
    <row r="29" spans="1:7" s="12" customFormat="1" ht="21" customHeight="1" x14ac:dyDescent="0.25">
      <c r="A29" s="49"/>
      <c r="B29" s="49"/>
      <c r="C29" s="49"/>
      <c r="D29" s="50"/>
      <c r="E29" s="49"/>
      <c r="F29" s="49"/>
      <c r="G29" s="49"/>
    </row>
    <row r="30" spans="1:7" s="12" customFormat="1" ht="21" customHeight="1" x14ac:dyDescent="0.25">
      <c r="A30" s="51"/>
      <c r="B30" s="51"/>
      <c r="C30" s="51"/>
      <c r="D30" s="52"/>
      <c r="E30" s="51"/>
      <c r="F30" s="51"/>
      <c r="G30" s="5"/>
    </row>
    <row r="31" spans="1:7" s="12" customFormat="1" ht="21" customHeight="1" x14ac:dyDescent="0.25">
      <c r="A31" s="51"/>
      <c r="B31" s="51"/>
      <c r="C31" s="51"/>
      <c r="D31" s="52"/>
      <c r="E31" s="51"/>
      <c r="F31" s="51"/>
      <c r="G31" s="5"/>
    </row>
    <row r="32" spans="1:7" s="12" customFormat="1" ht="21" customHeight="1" x14ac:dyDescent="0.25">
      <c r="A32" s="51"/>
      <c r="B32" s="51"/>
      <c r="C32" s="51"/>
      <c r="D32" s="52"/>
      <c r="E32" s="51"/>
      <c r="F32" s="51"/>
      <c r="G32" s="5"/>
    </row>
    <row r="33" spans="1:7" s="12" customFormat="1" ht="21" customHeight="1" x14ac:dyDescent="0.25">
      <c r="A33" s="51"/>
      <c r="B33" s="51"/>
      <c r="C33" s="51"/>
      <c r="D33" s="52"/>
      <c r="E33" s="51"/>
      <c r="F33" s="51"/>
      <c r="G33" s="5"/>
    </row>
    <row r="34" spans="1:7" s="12" customFormat="1" ht="21" customHeight="1" x14ac:dyDescent="0.25">
      <c r="A34" s="51"/>
      <c r="B34" s="51"/>
      <c r="C34" s="51"/>
      <c r="D34" s="52"/>
      <c r="E34" s="51"/>
      <c r="F34" s="51"/>
      <c r="G34" s="5"/>
    </row>
    <row r="35" spans="1:7" s="12" customFormat="1" ht="21" customHeight="1" x14ac:dyDescent="0.25">
      <c r="A35" s="51"/>
      <c r="B35" s="51"/>
      <c r="C35" s="51"/>
      <c r="D35" s="52"/>
      <c r="E35" s="51"/>
      <c r="F35" s="51"/>
      <c r="G35" s="5"/>
    </row>
    <row r="36" spans="1:7" s="12" customFormat="1" ht="21" customHeight="1" x14ac:dyDescent="0.25">
      <c r="A36" s="51"/>
      <c r="B36" s="51"/>
      <c r="C36" s="51"/>
      <c r="D36" s="52"/>
      <c r="E36" s="51"/>
      <c r="F36" s="51"/>
      <c r="G36" s="5"/>
    </row>
    <row r="37" spans="1:7" s="12" customFormat="1" ht="21" customHeight="1" x14ac:dyDescent="0.25">
      <c r="A37" s="51"/>
      <c r="B37" s="51"/>
      <c r="C37" s="51"/>
      <c r="D37" s="52"/>
      <c r="E37" s="51"/>
      <c r="F37" s="51"/>
      <c r="G37" s="5"/>
    </row>
    <row r="38" spans="1:7" s="12" customFormat="1" ht="21" customHeight="1" x14ac:dyDescent="0.25">
      <c r="A38" s="53" t="s">
        <v>31</v>
      </c>
      <c r="B38" s="53"/>
      <c r="C38" s="51"/>
      <c r="D38" s="52"/>
      <c r="E38" s="51"/>
      <c r="F38" s="51"/>
      <c r="G38" s="5"/>
    </row>
    <row r="39" spans="1:7" s="12" customFormat="1" ht="16.5" customHeight="1" x14ac:dyDescent="0.25">
      <c r="A39" s="24"/>
      <c r="B39" s="24"/>
      <c r="C39" s="25"/>
      <c r="D39" s="26"/>
      <c r="E39" s="25"/>
      <c r="F39" s="25"/>
      <c r="G39" s="27"/>
    </row>
    <row r="40" spans="1:7" s="12" customFormat="1" ht="16.5" x14ac:dyDescent="0.25">
      <c r="B40" s="17" t="s">
        <v>32</v>
      </c>
      <c r="D40" s="17"/>
      <c r="F40" s="19" t="s">
        <v>23</v>
      </c>
      <c r="G40" s="19"/>
    </row>
    <row r="41" spans="1:7" s="12" customFormat="1" ht="17.25" x14ac:dyDescent="0.25">
      <c r="A41" s="17"/>
      <c r="D41" s="17"/>
      <c r="F41" s="20" t="s">
        <v>24</v>
      </c>
      <c r="G41" s="20"/>
    </row>
    <row r="42" spans="1:7" s="12" customFormat="1" ht="16.5" x14ac:dyDescent="0.25">
      <c r="A42" s="14"/>
      <c r="D42" s="13"/>
    </row>
    <row r="43" spans="1:7" s="12" customFormat="1" ht="16.5" x14ac:dyDescent="0.25">
      <c r="D43" s="13"/>
    </row>
    <row r="44" spans="1:7" s="12" customFormat="1" ht="16.5" x14ac:dyDescent="0.25">
      <c r="D44" s="13"/>
    </row>
    <row r="45" spans="1:7" ht="15.75" x14ac:dyDescent="0.25">
      <c r="A45" s="1"/>
    </row>
    <row r="46" spans="1:7" ht="15.75" x14ac:dyDescent="0.25">
      <c r="A46" s="1"/>
    </row>
    <row r="47" spans="1:7" ht="15.75" x14ac:dyDescent="0.25">
      <c r="A47" s="1"/>
    </row>
    <row r="48" spans="1:7" ht="15.75" x14ac:dyDescent="0.25">
      <c r="A48" s="1"/>
    </row>
    <row r="49" spans="1:1" ht="15.75" x14ac:dyDescent="0.25">
      <c r="A49" s="1"/>
    </row>
    <row r="50" spans="1:1" ht="15.75" x14ac:dyDescent="0.25">
      <c r="A50" s="1"/>
    </row>
    <row r="51" spans="1:1" ht="15.75" x14ac:dyDescent="0.25">
      <c r="A51" s="1"/>
    </row>
    <row r="52" spans="1:1" ht="15.75" x14ac:dyDescent="0.25">
      <c r="A52" s="1"/>
    </row>
    <row r="53" spans="1:1" ht="15.75" x14ac:dyDescent="0.25">
      <c r="A53" s="1"/>
    </row>
    <row r="54" spans="1:1" ht="15.75" x14ac:dyDescent="0.25">
      <c r="A54" s="1"/>
    </row>
    <row r="55" spans="1:1" ht="15.75" x14ac:dyDescent="0.25">
      <c r="A55" s="1"/>
    </row>
    <row r="56" spans="1:1" ht="15.75" x14ac:dyDescent="0.25">
      <c r="A56" s="1"/>
    </row>
  </sheetData>
  <mergeCells count="2">
    <mergeCell ref="A4:G4"/>
    <mergeCell ref="A5:G5"/>
  </mergeCells>
  <printOptions horizontalCentered="1"/>
  <pageMargins left="0.51181102362204722" right="0.31496062992125984" top="0.19685039370078741" bottom="0.11811023622047245" header="0.19685039370078741" footer="0"/>
  <pageSetup fitToHeight="0" orientation="portrait" r:id="rId1"/>
  <headerFooter>
    <oddFooter>&amp;L&amp;"-,Italic"&amp;K01+033Habeco-P                         Mã hiệu: QT.01/HABECO-P-06                            Số ban hành:4/0                   &amp;C   &amp;R&amp;"-,Italic"&amp;K01+033Ngày:01/04/2024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4"/>
  <sheetViews>
    <sheetView view="pageBreakPreview" zoomScaleNormal="100" zoomScaleSheetLayoutView="100" workbookViewId="0">
      <selection activeCell="A4" sqref="A4:G4"/>
    </sheetView>
  </sheetViews>
  <sheetFormatPr defaultRowHeight="15" x14ac:dyDescent="0.25"/>
  <cols>
    <col min="1" max="1" width="11.5703125" style="6" customWidth="1"/>
    <col min="2" max="2" width="12.5703125" style="6" customWidth="1"/>
    <col min="3" max="3" width="8.7109375" style="6" customWidth="1"/>
    <col min="4" max="4" width="15.42578125" style="7" customWidth="1"/>
    <col min="5" max="5" width="13" style="6" customWidth="1"/>
    <col min="6" max="6" width="17" style="6" customWidth="1"/>
    <col min="7" max="7" width="11.85546875" style="6" customWidth="1"/>
    <col min="8" max="8" width="15" style="6" customWidth="1"/>
    <col min="9" max="16384" width="9.140625" style="6"/>
  </cols>
  <sheetData>
    <row r="1" spans="1:8" x14ac:dyDescent="0.25">
      <c r="H1" s="8">
        <f>+In!$G$1</f>
        <v>46178</v>
      </c>
    </row>
    <row r="2" spans="1:8" x14ac:dyDescent="0.25">
      <c r="G2" s="11"/>
      <c r="H2" s="10">
        <f>+In!$G$2</f>
        <v>26</v>
      </c>
    </row>
    <row r="3" spans="1:8" ht="24.75" customHeight="1" x14ac:dyDescent="0.25">
      <c r="A3" s="71" t="s">
        <v>55</v>
      </c>
      <c r="B3" s="71"/>
      <c r="C3" s="71"/>
      <c r="D3" s="71"/>
      <c r="E3" s="71"/>
      <c r="F3" s="71"/>
      <c r="G3" s="71"/>
    </row>
    <row r="4" spans="1:8" s="12" customFormat="1" ht="19.5" customHeight="1" x14ac:dyDescent="0.25">
      <c r="A4" s="72" t="str">
        <f>"Ngày "&amp;DAY($H$1)&amp;" tháng "&amp;MONTH($H$1)&amp;" năm "&amp;YEAR($H$1)</f>
        <v>Ngày 5 tháng 6 năm 2026</v>
      </c>
      <c r="B4" s="72"/>
      <c r="C4" s="72"/>
      <c r="D4" s="72"/>
      <c r="E4" s="72"/>
      <c r="F4" s="72"/>
      <c r="G4" s="72"/>
    </row>
    <row r="5" spans="1:8" s="12" customFormat="1" ht="16.5" x14ac:dyDescent="0.25">
      <c r="A5" s="12" t="str">
        <f>+In!$A$7</f>
        <v xml:space="preserve">Tên sản phẩm:  </v>
      </c>
      <c r="C5" s="12" t="str">
        <f>+In!$C$7</f>
        <v>Hộp 24 lon bia HN Vàng</v>
      </c>
      <c r="D5" s="13"/>
    </row>
    <row r="6" spans="1:8" s="12" customFormat="1" ht="16.5" x14ac:dyDescent="0.25">
      <c r="A6" s="12" t="str">
        <f>Bồi!A8</f>
        <v>Lệnh sản xuất:   FHT-26</v>
      </c>
      <c r="D6" s="13"/>
    </row>
    <row r="7" spans="1:8" s="12" customFormat="1" ht="17.25" x14ac:dyDescent="0.3">
      <c r="A7" s="14" t="s">
        <v>56</v>
      </c>
      <c r="B7" s="15"/>
      <c r="C7" s="15"/>
      <c r="D7" s="13"/>
    </row>
    <row r="8" spans="1:8" s="16" customFormat="1" ht="17.25" x14ac:dyDescent="0.3">
      <c r="A8" s="14" t="s">
        <v>57</v>
      </c>
      <c r="B8" s="15"/>
      <c r="C8" s="15"/>
      <c r="D8" s="13"/>
      <c r="E8" s="12"/>
      <c r="F8" s="12"/>
    </row>
    <row r="9" spans="1:8" s="12" customFormat="1" ht="15.75" customHeight="1" x14ac:dyDescent="0.25">
      <c r="A9" s="12" t="s">
        <v>58</v>
      </c>
      <c r="D9" s="13"/>
    </row>
    <row r="10" spans="1:8" s="12" customFormat="1" ht="17.25" x14ac:dyDescent="0.3">
      <c r="A10" s="12" t="s">
        <v>59</v>
      </c>
      <c r="B10" s="15"/>
      <c r="C10" s="15"/>
      <c r="D10" s="13"/>
    </row>
    <row r="11" spans="1:8" s="12" customFormat="1" ht="17.25" x14ac:dyDescent="0.3">
      <c r="A11" s="12" t="s">
        <v>60</v>
      </c>
      <c r="B11" s="15"/>
      <c r="C11" s="15"/>
      <c r="D11" s="13"/>
    </row>
    <row r="12" spans="1:8" s="12" customFormat="1" ht="17.25" x14ac:dyDescent="0.3">
      <c r="A12" s="14" t="s">
        <v>61</v>
      </c>
      <c r="B12" s="15"/>
      <c r="C12" s="15"/>
      <c r="D12" s="13"/>
    </row>
    <row r="13" spans="1:8" s="12" customFormat="1" ht="17.25" x14ac:dyDescent="0.3">
      <c r="A13" s="14" t="s">
        <v>90</v>
      </c>
      <c r="B13" s="15"/>
      <c r="C13" s="15"/>
      <c r="D13" s="64">
        <f>Bồi!D16</f>
        <v>100300.19999999998</v>
      </c>
      <c r="E13" s="12" t="s">
        <v>6</v>
      </c>
    </row>
    <row r="14" spans="1:8" s="12" customFormat="1" ht="17.25" x14ac:dyDescent="0.3">
      <c r="A14" s="41" t="s">
        <v>91</v>
      </c>
      <c r="B14" s="15"/>
      <c r="C14" s="15"/>
      <c r="D14" s="62">
        <f>D13*0.003-1</f>
        <v>299.90059999999994</v>
      </c>
      <c r="E14" s="12" t="s">
        <v>6</v>
      </c>
    </row>
    <row r="15" spans="1:8" s="12" customFormat="1" ht="21" x14ac:dyDescent="0.3">
      <c r="A15" s="42" t="s">
        <v>92</v>
      </c>
      <c r="B15" s="15"/>
      <c r="C15" s="15"/>
      <c r="D15" s="69">
        <f>D13-D14</f>
        <v>100000.29939999999</v>
      </c>
      <c r="E15" s="12" t="s">
        <v>6</v>
      </c>
    </row>
    <row r="16" spans="1:8" s="12" customFormat="1" ht="17.25" x14ac:dyDescent="0.3">
      <c r="A16" s="12" t="s">
        <v>80</v>
      </c>
      <c r="B16" s="15"/>
      <c r="C16" s="15"/>
      <c r="D16" s="13"/>
    </row>
    <row r="17" spans="1:7" s="12" customFormat="1" ht="17.25" x14ac:dyDescent="0.3">
      <c r="A17" s="41" t="s">
        <v>81</v>
      </c>
      <c r="B17" s="15"/>
      <c r="C17" s="15"/>
      <c r="D17" s="13"/>
    </row>
    <row r="18" spans="1:7" s="12" customFormat="1" ht="16.5" x14ac:dyDescent="0.25">
      <c r="A18" s="17"/>
      <c r="B18" s="18" t="s">
        <v>22</v>
      </c>
      <c r="D18" s="13"/>
      <c r="F18" s="19" t="s">
        <v>23</v>
      </c>
      <c r="G18" s="19"/>
    </row>
    <row r="19" spans="1:7" s="12" customFormat="1" ht="17.25" x14ac:dyDescent="0.25">
      <c r="A19" s="17"/>
      <c r="B19" s="17"/>
      <c r="D19" s="13"/>
      <c r="F19" s="20" t="s">
        <v>24</v>
      </c>
      <c r="G19" s="20"/>
    </row>
    <row r="20" spans="1:7" s="12" customFormat="1" ht="17.25" x14ac:dyDescent="0.25">
      <c r="A20" s="17"/>
      <c r="B20" s="17"/>
      <c r="D20" s="13"/>
      <c r="E20" s="21"/>
    </row>
    <row r="21" spans="1:7" s="12" customFormat="1" ht="16.5" x14ac:dyDescent="0.25">
      <c r="D21" s="13"/>
    </row>
    <row r="22" spans="1:7" s="12" customFormat="1" ht="16.5" x14ac:dyDescent="0.25">
      <c r="D22" s="13"/>
    </row>
    <row r="23" spans="1:7" s="12" customFormat="1" ht="16.5" x14ac:dyDescent="0.25">
      <c r="A23" s="14"/>
      <c r="B23" s="14"/>
      <c r="C23" s="14"/>
      <c r="D23" s="22"/>
      <c r="F23" s="23" t="s">
        <v>35</v>
      </c>
    </row>
    <row r="24" spans="1:7" s="12" customFormat="1" ht="16.5" x14ac:dyDescent="0.25">
      <c r="A24" s="14" t="s">
        <v>62</v>
      </c>
      <c r="D24" s="13"/>
    </row>
    <row r="25" spans="1:7" s="12" customFormat="1" ht="16.5" x14ac:dyDescent="0.25">
      <c r="A25" s="12" t="s">
        <v>51</v>
      </c>
      <c r="D25" s="13"/>
    </row>
    <row r="26" spans="1:7" s="16" customFormat="1" ht="35.25" customHeight="1" x14ac:dyDescent="0.25">
      <c r="A26" s="54" t="s">
        <v>25</v>
      </c>
      <c r="B26" s="55" t="s">
        <v>26</v>
      </c>
      <c r="C26" s="55" t="s">
        <v>52</v>
      </c>
      <c r="D26" s="55" t="s">
        <v>53</v>
      </c>
      <c r="E26" s="55" t="s">
        <v>54</v>
      </c>
      <c r="F26" s="55" t="s">
        <v>29</v>
      </c>
      <c r="G26" s="56" t="s">
        <v>30</v>
      </c>
    </row>
    <row r="27" spans="1:7" s="12" customFormat="1" ht="23.25" customHeight="1" x14ac:dyDescent="0.25">
      <c r="A27" s="49"/>
      <c r="B27" s="49"/>
      <c r="C27" s="49"/>
      <c r="D27" s="50"/>
      <c r="E27" s="49"/>
      <c r="F27" s="49"/>
      <c r="G27" s="49"/>
    </row>
    <row r="28" spans="1:7" s="12" customFormat="1" ht="23.25" customHeight="1" x14ac:dyDescent="0.25">
      <c r="A28" s="51"/>
      <c r="B28" s="51"/>
      <c r="C28" s="51"/>
      <c r="D28" s="52"/>
      <c r="E28" s="51"/>
      <c r="F28" s="51"/>
      <c r="G28" s="5"/>
    </row>
    <row r="29" spans="1:7" s="12" customFormat="1" ht="23.25" customHeight="1" x14ac:dyDescent="0.25">
      <c r="A29" s="51"/>
      <c r="B29" s="51"/>
      <c r="C29" s="51"/>
      <c r="D29" s="52"/>
      <c r="E29" s="51"/>
      <c r="F29" s="51"/>
      <c r="G29" s="5"/>
    </row>
    <row r="30" spans="1:7" s="12" customFormat="1" ht="23.25" customHeight="1" x14ac:dyDescent="0.25">
      <c r="A30" s="51"/>
      <c r="B30" s="51"/>
      <c r="C30" s="51"/>
      <c r="D30" s="52"/>
      <c r="E30" s="51"/>
      <c r="F30" s="51"/>
      <c r="G30" s="5"/>
    </row>
    <row r="31" spans="1:7" s="12" customFormat="1" ht="23.25" customHeight="1" x14ac:dyDescent="0.25">
      <c r="A31" s="51"/>
      <c r="B31" s="51"/>
      <c r="C31" s="51"/>
      <c r="D31" s="52"/>
      <c r="E31" s="51"/>
      <c r="F31" s="51"/>
      <c r="G31" s="5"/>
    </row>
    <row r="32" spans="1:7" s="12" customFormat="1" ht="23.25" customHeight="1" x14ac:dyDescent="0.25">
      <c r="A32" s="51"/>
      <c r="B32" s="51"/>
      <c r="C32" s="51"/>
      <c r="D32" s="52"/>
      <c r="E32" s="51"/>
      <c r="F32" s="51"/>
      <c r="G32" s="5"/>
    </row>
    <row r="33" spans="1:7" s="12" customFormat="1" ht="23.25" customHeight="1" x14ac:dyDescent="0.25">
      <c r="A33" s="51"/>
      <c r="B33" s="51"/>
      <c r="C33" s="51"/>
      <c r="D33" s="52"/>
      <c r="E33" s="51"/>
      <c r="F33" s="51"/>
      <c r="G33" s="5"/>
    </row>
    <row r="34" spans="1:7" s="12" customFormat="1" ht="23.25" customHeight="1" x14ac:dyDescent="0.25">
      <c r="A34" s="51"/>
      <c r="B34" s="51"/>
      <c r="C34" s="51"/>
      <c r="D34" s="52"/>
      <c r="E34" s="51"/>
      <c r="F34" s="51"/>
      <c r="G34" s="5"/>
    </row>
    <row r="35" spans="1:7" s="12" customFormat="1" ht="23.25" customHeight="1" x14ac:dyDescent="0.25">
      <c r="A35" s="51"/>
      <c r="B35" s="51"/>
      <c r="C35" s="51"/>
      <c r="D35" s="52"/>
      <c r="E35" s="51"/>
      <c r="F35" s="51"/>
      <c r="G35" s="5"/>
    </row>
    <row r="36" spans="1:7" s="12" customFormat="1" ht="23.25" customHeight="1" x14ac:dyDescent="0.25">
      <c r="A36" s="57" t="s">
        <v>31</v>
      </c>
      <c r="B36" s="58"/>
      <c r="C36" s="59"/>
      <c r="D36" s="60"/>
      <c r="E36" s="59"/>
      <c r="F36" s="59"/>
      <c r="G36" s="61"/>
    </row>
    <row r="37" spans="1:7" s="12" customFormat="1" ht="16.5" customHeight="1" x14ac:dyDescent="0.25">
      <c r="A37" s="24"/>
      <c r="B37" s="24"/>
      <c r="C37" s="25"/>
      <c r="D37" s="26"/>
      <c r="E37" s="25"/>
      <c r="F37" s="25"/>
      <c r="G37" s="27"/>
    </row>
    <row r="38" spans="1:7" s="12" customFormat="1" ht="16.5" x14ac:dyDescent="0.25">
      <c r="B38" s="17" t="s">
        <v>32</v>
      </c>
      <c r="D38" s="17"/>
      <c r="F38" s="19" t="s">
        <v>23</v>
      </c>
      <c r="G38" s="19"/>
    </row>
    <row r="39" spans="1:7" s="12" customFormat="1" ht="17.25" x14ac:dyDescent="0.25">
      <c r="A39" s="17"/>
      <c r="D39" s="17"/>
      <c r="F39" s="20" t="s">
        <v>24</v>
      </c>
      <c r="G39" s="20"/>
    </row>
    <row r="40" spans="1:7" s="12" customFormat="1" ht="16.5" x14ac:dyDescent="0.25">
      <c r="A40" s="14"/>
      <c r="D40" s="13"/>
    </row>
    <row r="41" spans="1:7" s="12" customFormat="1" ht="16.5" x14ac:dyDescent="0.25">
      <c r="D41" s="13"/>
    </row>
    <row r="42" spans="1:7" s="12" customFormat="1" ht="16.5" x14ac:dyDescent="0.25">
      <c r="D42" s="13"/>
    </row>
    <row r="43" spans="1:7" ht="15.75" x14ac:dyDescent="0.25">
      <c r="A43" s="1"/>
    </row>
    <row r="44" spans="1:7" ht="15.75" x14ac:dyDescent="0.25">
      <c r="A44" s="1"/>
    </row>
    <row r="45" spans="1:7" ht="15.75" x14ac:dyDescent="0.25">
      <c r="A45" s="1"/>
    </row>
    <row r="46" spans="1:7" ht="15.75" x14ac:dyDescent="0.25">
      <c r="A46" s="1"/>
    </row>
    <row r="47" spans="1:7" ht="15.75" x14ac:dyDescent="0.25">
      <c r="A47" s="1"/>
    </row>
    <row r="48" spans="1:7" ht="15.75" x14ac:dyDescent="0.25">
      <c r="A48" s="1"/>
    </row>
    <row r="49" spans="1:1" ht="15.75" x14ac:dyDescent="0.25">
      <c r="A49" s="1"/>
    </row>
    <row r="50" spans="1:1" ht="15.75" x14ac:dyDescent="0.25">
      <c r="A50" s="1"/>
    </row>
    <row r="51" spans="1:1" ht="15.75" x14ac:dyDescent="0.25">
      <c r="A51" s="1"/>
    </row>
    <row r="52" spans="1:1" ht="15.75" x14ac:dyDescent="0.25">
      <c r="A52" s="1"/>
    </row>
    <row r="53" spans="1:1" ht="15.75" x14ac:dyDescent="0.25">
      <c r="A53" s="1"/>
    </row>
    <row r="54" spans="1:1" ht="15.75" x14ac:dyDescent="0.25">
      <c r="A54" s="1"/>
    </row>
  </sheetData>
  <mergeCells count="2">
    <mergeCell ref="A3:G3"/>
    <mergeCell ref="A4:G4"/>
  </mergeCells>
  <printOptions horizontalCentered="1"/>
  <pageMargins left="0.51181102362204722" right="0.31496062992125984" top="0.15748031496062992" bottom="0.11811023622047245" header="0.15748031496062992" footer="0.15748031496062992"/>
  <pageSetup fitToHeight="0" orientation="portrait" r:id="rId1"/>
  <headerFooter>
    <oddFooter>&amp;L&amp;"-,Italic"&amp;K01+033Habeco-P                         Mã hiệu: QT.01/HABECO-P-07                            Số ban hành:4/0                   &amp;C   &amp;R&amp;"-,Italic"&amp;K01+033Ngày:01/04/2024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Sheet1</vt:lpstr>
      <vt:lpstr>In</vt:lpstr>
      <vt:lpstr>KCS</vt:lpstr>
      <vt:lpstr>Bồi</vt:lpstr>
      <vt:lpstr>Bế</vt:lpstr>
      <vt:lpstr>Bế!Print_Area</vt:lpstr>
      <vt:lpstr>Bồi!Print_Area</vt:lpstr>
      <vt:lpstr>In!Print_Area</vt:lpstr>
      <vt:lpstr>KCS!Print_Area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2026-06-09T02:58:27Z</dcterms:modified>
</cp:coreProperties>
</file>