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óng" sheetId="2" r:id="rId1"/>
    <sheet name="Sheet1" sheetId="1" state="hidden" r:id="rId2"/>
  </sheets>
  <definedNames>
    <definedName name="_xlnm.Print_Area" localSheetId="0">Sóng!$A$1:$J$103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R7" i="1"/>
  <c r="R6" i="1"/>
  <c r="P7" i="1" l="1"/>
  <c r="N6" i="1"/>
  <c r="P4" i="1"/>
  <c r="Q7" i="1"/>
  <c r="P5" i="1"/>
  <c r="Q5" i="1" s="1"/>
  <c r="Q4" i="1"/>
</calcChain>
</file>

<file path=xl/sharedStrings.xml><?xml version="1.0" encoding="utf-8"?>
<sst xmlns="http://schemas.openxmlformats.org/spreadsheetml/2006/main" count="108" uniqueCount="92">
  <si>
    <t>1. Tên sản phẩm:        Duplex 230/940- hanchang</t>
  </si>
  <si>
    <t>3. Định lượng xuất:</t>
  </si>
  <si>
    <t xml:space="preserve">230gms                                                                                    </t>
  </si>
  <si>
    <t xml:space="preserve">5. Ngày đưa lệnh:         11/07/2026                                                          </t>
  </si>
  <si>
    <r>
      <t xml:space="preserve">4. Khối lượng </t>
    </r>
    <r>
      <rPr>
        <b/>
        <i/>
        <sz val="12"/>
        <color theme="1"/>
        <rFont val="Times New Roman"/>
        <family val="1"/>
      </rPr>
      <t xml:space="preserve">:   </t>
    </r>
  </si>
  <si>
    <t>Người lập</t>
  </si>
  <si>
    <t>XÍ NGHIỆP SX BAO BÌ</t>
  </si>
  <si>
    <t>p.Giám đốc</t>
  </si>
  <si>
    <t>NGUYỄN THỊ LỆ</t>
  </si>
  <si>
    <t xml:space="preserve">Nguyễn Khánh Vi </t>
  </si>
  <si>
    <t>Kết quả sản xuất:</t>
  </si>
  <si>
    <t>TT</t>
  </si>
  <si>
    <t>Ngày sản xuất</t>
  </si>
  <si>
    <t xml:space="preserve">Ngày nhập </t>
  </si>
  <si>
    <t>Kiểm tra ngoại quan</t>
  </si>
  <si>
    <t>Định lượng đầu vào</t>
  </si>
  <si>
    <t>Khối lượng trên quả</t>
  </si>
  <si>
    <t>Khối lượng cân lại</t>
  </si>
  <si>
    <t xml:space="preserve">Rách sản xuất </t>
  </si>
  <si>
    <t>Rách trước</t>
  </si>
  <si>
    <t>Vỏ+lõi</t>
  </si>
  <si>
    <t>Thành phẩm thực tế</t>
  </si>
  <si>
    <t>Định lượng kiểm tra</t>
  </si>
  <si>
    <t>Người xả</t>
  </si>
  <si>
    <t>TỔ TRƯỞNG/TRƯỞNG CA</t>
  </si>
  <si>
    <t>THỐNG KÊ</t>
  </si>
  <si>
    <t>HN, ngày        tháng       năm 2026</t>
  </si>
  <si>
    <t>Giám đốc</t>
  </si>
  <si>
    <r>
      <t xml:space="preserve">2. Kích thước xả:         </t>
    </r>
    <r>
      <rPr>
        <b/>
        <i/>
        <sz val="12"/>
        <color theme="1"/>
        <rFont val="Times New Roman"/>
        <family val="1"/>
      </rPr>
      <t>940X595 mm</t>
    </r>
  </si>
  <si>
    <r>
      <t xml:space="preserve">7. Số lệnh:                    </t>
    </r>
    <r>
      <rPr>
        <b/>
        <i/>
        <sz val="12"/>
        <color theme="1"/>
        <rFont val="Times New Roman"/>
        <family val="1"/>
      </rPr>
      <t>BH24- 08</t>
    </r>
  </si>
  <si>
    <t>Tồn kho:</t>
  </si>
  <si>
    <t>Số lượng SX</t>
  </si>
  <si>
    <t>Giấy cần xả</t>
  </si>
  <si>
    <t>6. Ngày hoàn thành:          /  07    /2026</t>
  </si>
  <si>
    <t xml:space="preserve">Trọng lượng </t>
  </si>
  <si>
    <t xml:space="preserve">     LỆNH XẢ GIẤY </t>
  </si>
  <si>
    <t>8. Ghi chú: xả hết quả  (tồn kho còn 1.200 Tờ)</t>
  </si>
  <si>
    <t xml:space="preserve"> 11 quả 10461 ( kg ) ~  81320 (tờ )</t>
  </si>
  <si>
    <t>LỆNH SẢN XUẤT SÓNG</t>
  </si>
  <si>
    <t xml:space="preserve">Ngày dự kiến hoàn thành:    </t>
  </si>
  <si>
    <t>Ngày giao lệnh:</t>
  </si>
  <si>
    <t xml:space="preserve">Số lệnh:  </t>
  </si>
  <si>
    <t xml:space="preserve">Tên sản phẩm: </t>
  </si>
  <si>
    <t xml:space="preserve">Số lượng yêu cầu:  </t>
  </si>
  <si>
    <t>Tấm</t>
  </si>
  <si>
    <t>Ngày dự kiến sản xuất:</t>
  </si>
  <si>
    <t>Bước sóng</t>
  </si>
  <si>
    <t>Trọng lượng</t>
  </si>
  <si>
    <t>Độ dày</t>
  </si>
  <si>
    <t>Kích thước</t>
  </si>
  <si>
    <t>Chiều dọc sóng</t>
  </si>
  <si>
    <t>I</t>
  </si>
  <si>
    <t xml:space="preserve"> Phương án sản xuất</t>
  </si>
  <si>
    <t>1.</t>
  </si>
  <si>
    <t>2.</t>
  </si>
  <si>
    <t>Thông số kỹ thuật:</t>
  </si>
  <si>
    <t>II</t>
  </si>
  <si>
    <t>Kế hoạch vật tư</t>
  </si>
  <si>
    <t>Vật tư</t>
  </si>
  <si>
    <t>ĐVT</t>
  </si>
  <si>
    <t xml:space="preserve">Tồn đầu </t>
  </si>
  <si>
    <t>Số lượng theo định mức</t>
  </si>
  <si>
    <t xml:space="preserve">Dự kiến xuất </t>
  </si>
  <si>
    <t>A</t>
  </si>
  <si>
    <t>B</t>
  </si>
  <si>
    <t>C</t>
  </si>
  <si>
    <t>3 = 2-1</t>
  </si>
  <si>
    <t>NGƯỜI LẬP</t>
  </si>
  <si>
    <t>P.Giám đốc</t>
  </si>
  <si>
    <t xml:space="preserve">          NGUYỄN KHÁNH VI</t>
  </si>
  <si>
    <r>
      <t xml:space="preserve"> Loại giấy:</t>
    </r>
    <r>
      <rPr>
        <sz val="14"/>
        <color theme="1"/>
        <rFont val="Times New Roman"/>
        <family val="1"/>
      </rPr>
      <t xml:space="preserve"> </t>
    </r>
  </si>
  <si>
    <t>III</t>
  </si>
  <si>
    <t xml:space="preserve">Báo cáo sản xuất </t>
  </si>
  <si>
    <r>
      <t>List quả</t>
    </r>
    <r>
      <rPr>
        <sz val="12"/>
        <color theme="1"/>
        <rFont val="Times New Roman"/>
        <family val="1"/>
      </rPr>
      <t xml:space="preserve">: </t>
    </r>
  </si>
  <si>
    <t>Kraf mặt (nâu)</t>
  </si>
  <si>
    <t>Kraf sóng (mộc)</t>
  </si>
  <si>
    <t xml:space="preserve">Khối lượng </t>
  </si>
  <si>
    <t>Đ/v</t>
  </si>
  <si>
    <t>Ngày nhập</t>
  </si>
  <si>
    <t>Khối lượng</t>
  </si>
  <si>
    <t xml:space="preserve"> Tổng</t>
  </si>
  <si>
    <t>Tổng</t>
  </si>
  <si>
    <t>Báo cáo sản lượng sản xuất:</t>
  </si>
  <si>
    <t>Ngày</t>
  </si>
  <si>
    <t>Ca sản xuất</t>
  </si>
  <si>
    <t>Sản lượng đạt</t>
  </si>
  <si>
    <t>Sản lượng hỏng</t>
  </si>
  <si>
    <t>Nguyên nhân lỗi</t>
  </si>
  <si>
    <t>Ký tên</t>
  </si>
  <si>
    <t>Ngày        tháng        năm 2026</t>
  </si>
  <si>
    <r>
      <rPr>
        <b/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- Kraf sóng: </t>
    </r>
  </si>
  <si>
    <t xml:space="preserve">- Kraf mặt: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</si>
</sst>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7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.VnTime"/>
      <family val="2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i/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6" fillId="2" borderId="0" xfId="0" applyFont="1" applyFill="1"/>
    <xf numFmtId="14" fontId="7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14" fontId="1" fillId="2" borderId="0" xfId="0" applyNumberFormat="1" applyFont="1" applyFill="1" applyAlignment="1">
      <alignment horizontal="left"/>
    </xf>
    <xf numFmtId="14" fontId="1" fillId="2" borderId="0" xfId="0" applyNumberFormat="1" applyFont="1" applyFill="1" applyAlignment="1">
      <alignment horizontal="left" wrapText="1"/>
    </xf>
    <xf numFmtId="0" fontId="1" fillId="2" borderId="0" xfId="0" applyFont="1" applyFill="1" applyAlignment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justify" vertical="center"/>
    </xf>
    <xf numFmtId="0" fontId="16" fillId="2" borderId="0" xfId="0" applyFont="1" applyFill="1"/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2" fillId="2" borderId="0" xfId="0" quotePrefix="1" applyFont="1" applyFill="1" applyAlignment="1">
      <alignment horizontal="right"/>
    </xf>
    <xf numFmtId="0" fontId="12" fillId="2" borderId="0" xfId="0" quotePrefix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0" borderId="0" xfId="0" applyFont="1" applyAlignment="1">
      <alignment horizontal="right" vertical="center"/>
    </xf>
    <xf numFmtId="0" fontId="2" fillId="2" borderId="0" xfId="0" applyFont="1" applyFill="1" applyAlignment="1"/>
    <xf numFmtId="0" fontId="16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justify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4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right"/>
    </xf>
    <xf numFmtId="0" fontId="5" fillId="2" borderId="8" xfId="0" applyFont="1" applyFill="1" applyBorder="1" applyAlignment="1">
      <alignment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0" fontId="20" fillId="2" borderId="5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/>
    <xf numFmtId="164" fontId="1" fillId="2" borderId="0" xfId="1" applyNumberFormat="1" applyFont="1" applyFill="1" applyAlignment="1"/>
    <xf numFmtId="14" fontId="1" fillId="2" borderId="0" xfId="0" applyNumberFormat="1" applyFont="1" applyFill="1" applyAlignment="1"/>
    <xf numFmtId="1" fontId="14" fillId="2" borderId="4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8" fillId="2" borderId="8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0" xfId="0" quotePrefix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1</xdr:col>
      <xdr:colOff>161925</xdr:colOff>
      <xdr:row>2</xdr:row>
      <xdr:rowOff>47625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"/>
          <a:ext cx="647700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514350</xdr:colOff>
      <xdr:row>1</xdr:row>
      <xdr:rowOff>428625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8575"/>
          <a:ext cx="647700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2"/>
  <sheetViews>
    <sheetView tabSelected="1" zoomScaleNormal="100" zoomScaleSheetLayoutView="100" workbookViewId="0">
      <selection activeCell="E10" sqref="E10"/>
    </sheetView>
  </sheetViews>
  <sheetFormatPr defaultColWidth="9.109375" defaultRowHeight="14.4"/>
  <cols>
    <col min="1" max="1" width="8.33203125" style="75" customWidth="1"/>
    <col min="2" max="2" width="25.6640625" style="24" customWidth="1"/>
    <col min="3" max="3" width="11.44140625" style="24" customWidth="1"/>
    <col min="4" max="4" width="13.109375" style="24" customWidth="1"/>
    <col min="5" max="5" width="21.44140625" style="28" customWidth="1"/>
    <col min="6" max="6" width="18" style="27" customWidth="1"/>
    <col min="7" max="7" width="14.109375" style="28" customWidth="1"/>
    <col min="8" max="8" width="11.44140625" style="28" customWidth="1"/>
    <col min="9" max="9" width="14.6640625" style="28" customWidth="1"/>
    <col min="10" max="10" width="17.5546875" style="28" customWidth="1"/>
    <col min="11" max="13" width="11.44140625" customWidth="1"/>
    <col min="14" max="14" width="8.88671875"/>
    <col min="15" max="15" width="14.88671875" bestFit="1" customWidth="1"/>
    <col min="16" max="18" width="8.88671875" customWidth="1"/>
    <col min="19" max="16384" width="9.109375" style="24"/>
  </cols>
  <sheetData>
    <row r="1" spans="1:18">
      <c r="A1" s="69"/>
      <c r="B1" s="41"/>
      <c r="C1" s="41"/>
      <c r="D1" s="41"/>
      <c r="E1" s="42"/>
      <c r="F1" s="43"/>
      <c r="G1" s="42"/>
      <c r="H1" s="42"/>
      <c r="I1" s="44"/>
      <c r="J1" s="42"/>
    </row>
    <row r="2" spans="1:18" ht="28.5" customHeight="1">
      <c r="A2" s="148" t="s">
        <v>38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18" s="25" customFormat="1" ht="16.8">
      <c r="A3" s="70"/>
      <c r="B3" s="64"/>
      <c r="C3" s="64"/>
      <c r="D3" s="64"/>
      <c r="E3" s="65"/>
      <c r="F3" s="65"/>
      <c r="G3" s="65"/>
      <c r="H3" s="65"/>
      <c r="I3" s="45"/>
      <c r="J3" s="45"/>
      <c r="K3"/>
      <c r="L3"/>
      <c r="M3"/>
      <c r="N3"/>
      <c r="O3"/>
      <c r="P3"/>
      <c r="Q3"/>
      <c r="R3"/>
    </row>
    <row r="4" spans="1:18" s="25" customFormat="1" ht="24.75" customHeight="1">
      <c r="A4" s="70"/>
      <c r="B4" s="31" t="s">
        <v>40</v>
      </c>
      <c r="C4" s="50"/>
      <c r="D4" s="50"/>
      <c r="E4" s="48"/>
      <c r="F4" s="48"/>
      <c r="G4" s="48"/>
      <c r="H4" s="48"/>
      <c r="I4" s="46"/>
      <c r="J4" s="46"/>
      <c r="K4"/>
      <c r="L4"/>
      <c r="M4"/>
      <c r="N4"/>
      <c r="O4"/>
      <c r="P4"/>
      <c r="Q4"/>
      <c r="R4"/>
    </row>
    <row r="5" spans="1:18" s="25" customFormat="1" ht="24.75" customHeight="1">
      <c r="A5" s="70"/>
      <c r="B5" s="31" t="s">
        <v>41</v>
      </c>
      <c r="C5" s="54"/>
      <c r="D5" s="54"/>
      <c r="E5" s="48"/>
      <c r="F5" s="48"/>
      <c r="G5" s="48"/>
      <c r="H5" s="48"/>
      <c r="I5" s="46"/>
      <c r="J5" s="46"/>
      <c r="K5"/>
      <c r="L5"/>
      <c r="M5"/>
      <c r="N5"/>
      <c r="O5"/>
      <c r="P5"/>
      <c r="Q5"/>
      <c r="R5"/>
    </row>
    <row r="6" spans="1:18" s="25" customFormat="1" ht="24.75" customHeight="1">
      <c r="A6" s="70"/>
      <c r="B6" s="67" t="s">
        <v>42</v>
      </c>
      <c r="C6" s="52"/>
      <c r="D6" s="66"/>
      <c r="E6" s="47"/>
      <c r="F6" s="48"/>
      <c r="G6" s="48"/>
      <c r="H6" s="57"/>
      <c r="I6" s="57"/>
      <c r="J6" s="49"/>
      <c r="K6"/>
      <c r="L6"/>
      <c r="M6"/>
      <c r="N6"/>
      <c r="O6"/>
      <c r="P6"/>
      <c r="Q6"/>
      <c r="R6"/>
    </row>
    <row r="7" spans="1:18" s="26" customFormat="1" ht="24.75" customHeight="1">
      <c r="A7" s="70"/>
      <c r="B7" s="67" t="s">
        <v>43</v>
      </c>
      <c r="C7" s="107"/>
      <c r="D7" s="51" t="s">
        <v>44</v>
      </c>
      <c r="E7" s="51"/>
      <c r="F7" s="48"/>
      <c r="G7" s="47"/>
      <c r="H7" s="48"/>
      <c r="I7" s="48"/>
      <c r="J7" s="49"/>
      <c r="K7"/>
      <c r="L7"/>
      <c r="M7"/>
      <c r="N7"/>
      <c r="O7"/>
      <c r="P7"/>
      <c r="Q7"/>
      <c r="R7"/>
    </row>
    <row r="8" spans="1:18" s="25" customFormat="1" ht="24.75" customHeight="1">
      <c r="A8" s="70"/>
      <c r="B8" s="67" t="s">
        <v>45</v>
      </c>
      <c r="C8" s="108"/>
      <c r="D8" s="50"/>
      <c r="E8" s="49"/>
      <c r="F8" s="48"/>
      <c r="G8" s="53"/>
      <c r="H8" s="48"/>
      <c r="I8" s="48"/>
      <c r="J8" s="54"/>
      <c r="K8"/>
      <c r="L8"/>
      <c r="M8"/>
      <c r="N8"/>
      <c r="O8"/>
      <c r="P8"/>
      <c r="Q8"/>
      <c r="R8"/>
    </row>
    <row r="9" spans="1:18" s="25" customFormat="1" ht="24.75" customHeight="1">
      <c r="A9" s="70"/>
      <c r="B9" s="67" t="s">
        <v>39</v>
      </c>
      <c r="C9" s="108"/>
      <c r="D9" s="50"/>
      <c r="E9" s="48"/>
      <c r="F9" s="48"/>
      <c r="G9" s="48"/>
      <c r="H9" s="48"/>
      <c r="I9" s="46"/>
      <c r="J9" s="48"/>
      <c r="K9"/>
      <c r="L9"/>
      <c r="M9"/>
      <c r="N9"/>
      <c r="O9"/>
      <c r="P9"/>
      <c r="Q9"/>
      <c r="R9"/>
    </row>
    <row r="10" spans="1:18" s="25" customFormat="1" ht="19.5" customHeight="1">
      <c r="A10" s="71" t="s">
        <v>51</v>
      </c>
      <c r="B10" s="77" t="s">
        <v>52</v>
      </c>
      <c r="C10" s="30"/>
      <c r="D10" s="30"/>
      <c r="E10" s="30"/>
      <c r="F10" s="30"/>
      <c r="G10" s="30"/>
      <c r="H10" s="55"/>
      <c r="I10" s="46"/>
      <c r="J10" s="63"/>
      <c r="K10"/>
      <c r="L10"/>
      <c r="M10"/>
      <c r="N10"/>
      <c r="O10"/>
      <c r="P10"/>
      <c r="Q10"/>
      <c r="R10"/>
    </row>
    <row r="11" spans="1:18" s="25" customFormat="1" ht="19.5" customHeight="1">
      <c r="A11" s="72" t="s">
        <v>53</v>
      </c>
      <c r="B11" s="77" t="s">
        <v>70</v>
      </c>
      <c r="C11" s="30"/>
      <c r="D11" s="30"/>
      <c r="E11" s="30"/>
      <c r="F11" s="30"/>
      <c r="G11" s="30"/>
      <c r="H11" s="56"/>
      <c r="I11" s="46"/>
      <c r="J11" s="53"/>
      <c r="K11"/>
      <c r="L11"/>
      <c r="M11"/>
      <c r="N11"/>
      <c r="O11"/>
      <c r="P11"/>
      <c r="Q11"/>
      <c r="R11"/>
    </row>
    <row r="12" spans="1:18" s="25" customFormat="1" ht="21.75" customHeight="1">
      <c r="A12" s="70"/>
      <c r="B12" s="58" t="s">
        <v>90</v>
      </c>
      <c r="C12" s="58"/>
      <c r="D12" s="58"/>
      <c r="E12" s="58"/>
      <c r="F12" s="58"/>
      <c r="G12" s="58"/>
      <c r="H12" s="65"/>
      <c r="I12" s="45"/>
      <c r="J12" s="45"/>
      <c r="K12"/>
      <c r="L12"/>
      <c r="M12"/>
      <c r="N12"/>
      <c r="O12"/>
      <c r="P12"/>
      <c r="Q12"/>
      <c r="R12"/>
    </row>
    <row r="13" spans="1:18" s="25" customFormat="1" ht="21.75" customHeight="1">
      <c r="A13" s="70"/>
      <c r="B13" s="153" t="s">
        <v>91</v>
      </c>
      <c r="C13" s="78"/>
      <c r="D13" s="78"/>
      <c r="E13" s="78"/>
      <c r="F13" s="78"/>
      <c r="G13" s="78"/>
      <c r="H13" s="65"/>
      <c r="I13" s="45"/>
      <c r="J13" s="45"/>
      <c r="K13"/>
      <c r="L13"/>
      <c r="M13"/>
      <c r="N13"/>
      <c r="O13"/>
      <c r="P13"/>
      <c r="Q13"/>
      <c r="R13"/>
    </row>
    <row r="14" spans="1:18" s="25" customFormat="1" ht="19.5" customHeight="1">
      <c r="A14" s="73" t="s">
        <v>54</v>
      </c>
      <c r="B14" s="77" t="s">
        <v>55</v>
      </c>
      <c r="C14" s="30"/>
      <c r="D14" s="30"/>
      <c r="E14" s="30"/>
      <c r="F14" s="30"/>
      <c r="G14" s="30"/>
      <c r="H14" s="65"/>
      <c r="I14" s="45"/>
      <c r="J14" s="45"/>
      <c r="K14"/>
      <c r="L14"/>
      <c r="M14"/>
      <c r="N14"/>
      <c r="O14"/>
      <c r="P14"/>
      <c r="Q14"/>
      <c r="R14"/>
    </row>
    <row r="15" spans="1:18" s="25" customFormat="1" ht="19.5" customHeight="1">
      <c r="A15" s="70"/>
      <c r="B15" s="79"/>
      <c r="C15" s="30"/>
      <c r="D15" s="30"/>
      <c r="E15" s="30"/>
      <c r="F15" s="30"/>
      <c r="G15" s="30"/>
      <c r="H15" s="65"/>
      <c r="I15" s="45"/>
      <c r="J15" s="45"/>
      <c r="K15"/>
      <c r="L15"/>
      <c r="M15"/>
      <c r="N15"/>
      <c r="O15"/>
      <c r="P15"/>
      <c r="Q15"/>
      <c r="R15"/>
    </row>
    <row r="16" spans="1:18" s="25" customFormat="1" ht="19.5" customHeight="1">
      <c r="A16" s="70"/>
      <c r="B16" s="80" t="s">
        <v>46</v>
      </c>
      <c r="C16" s="134" t="s">
        <v>47</v>
      </c>
      <c r="D16" s="136"/>
      <c r="E16" s="80" t="s">
        <v>48</v>
      </c>
      <c r="F16" s="80" t="s">
        <v>49</v>
      </c>
      <c r="G16" s="145" t="s">
        <v>50</v>
      </c>
      <c r="H16" s="145"/>
      <c r="I16" s="45"/>
      <c r="J16" s="76"/>
      <c r="K16"/>
      <c r="L16"/>
      <c r="M16"/>
      <c r="N16"/>
      <c r="O16"/>
      <c r="P16"/>
      <c r="Q16"/>
      <c r="R16"/>
    </row>
    <row r="17" spans="1:18" s="25" customFormat="1" ht="19.5" customHeight="1">
      <c r="A17" s="70"/>
      <c r="B17" s="82"/>
      <c r="C17" s="143"/>
      <c r="D17" s="144"/>
      <c r="E17" s="82"/>
      <c r="F17" s="82"/>
      <c r="G17" s="146"/>
      <c r="H17" s="146"/>
      <c r="I17" s="45"/>
      <c r="J17" s="45"/>
      <c r="K17"/>
      <c r="L17"/>
      <c r="M17"/>
      <c r="N17"/>
      <c r="O17"/>
      <c r="P17"/>
      <c r="Q17"/>
      <c r="R17"/>
    </row>
    <row r="18" spans="1:18" s="25" customFormat="1" ht="14.25" customHeight="1">
      <c r="A18" s="70"/>
      <c r="B18" s="58"/>
      <c r="C18" s="64"/>
      <c r="D18" s="64"/>
      <c r="E18" s="65"/>
      <c r="F18" s="65"/>
      <c r="G18" s="65"/>
      <c r="H18" s="65"/>
      <c r="I18" s="45"/>
      <c r="J18" s="45"/>
      <c r="K18"/>
      <c r="L18"/>
      <c r="M18"/>
      <c r="N18"/>
      <c r="O18"/>
      <c r="P18"/>
      <c r="Q18"/>
      <c r="R18"/>
    </row>
    <row r="19" spans="1:18" s="25" customFormat="1" ht="19.5" customHeight="1">
      <c r="A19" s="71" t="s">
        <v>56</v>
      </c>
      <c r="B19" s="77" t="s">
        <v>57</v>
      </c>
      <c r="C19" s="30"/>
      <c r="D19" s="30"/>
      <c r="E19" s="30"/>
      <c r="F19" s="30"/>
      <c r="G19" s="30"/>
      <c r="H19" s="30"/>
      <c r="I19" s="30"/>
      <c r="J19" s="30"/>
      <c r="K19"/>
      <c r="L19"/>
      <c r="M19"/>
      <c r="N19"/>
      <c r="O19"/>
      <c r="P19"/>
      <c r="Q19"/>
      <c r="R19"/>
    </row>
    <row r="20" spans="1:18" s="25" customFormat="1" ht="19.5" customHeight="1">
      <c r="A20" s="74"/>
      <c r="B20" s="79"/>
      <c r="C20" s="30"/>
      <c r="D20" s="30"/>
      <c r="E20" s="30"/>
      <c r="F20" s="30"/>
      <c r="G20" s="30"/>
      <c r="H20" s="30"/>
      <c r="I20" s="30"/>
      <c r="J20" s="30"/>
      <c r="K20"/>
      <c r="L20"/>
      <c r="M20"/>
      <c r="N20"/>
      <c r="O20"/>
      <c r="P20"/>
      <c r="Q20"/>
      <c r="R20"/>
    </row>
    <row r="21" spans="1:18" s="25" customFormat="1" ht="52.5" customHeight="1">
      <c r="A21" s="83" t="s">
        <v>11</v>
      </c>
      <c r="B21" s="134" t="s">
        <v>58</v>
      </c>
      <c r="C21" s="136"/>
      <c r="D21" s="81" t="s">
        <v>59</v>
      </c>
      <c r="E21" s="80" t="s">
        <v>60</v>
      </c>
      <c r="F21" s="80" t="s">
        <v>61</v>
      </c>
      <c r="G21" s="145" t="s">
        <v>62</v>
      </c>
      <c r="H21" s="145"/>
      <c r="I21" s="30"/>
      <c r="J21" s="30"/>
      <c r="K21"/>
      <c r="L21"/>
      <c r="M21"/>
      <c r="N21"/>
      <c r="O21"/>
      <c r="P21"/>
      <c r="Q21"/>
      <c r="R21"/>
    </row>
    <row r="22" spans="1:18" s="25" customFormat="1" ht="21" customHeight="1">
      <c r="A22" s="84" t="s">
        <v>63</v>
      </c>
      <c r="B22" s="111" t="s">
        <v>64</v>
      </c>
      <c r="C22" s="112"/>
      <c r="D22" s="59" t="s">
        <v>65</v>
      </c>
      <c r="E22" s="59">
        <v>1</v>
      </c>
      <c r="F22" s="59">
        <v>2</v>
      </c>
      <c r="G22" s="139" t="s">
        <v>66</v>
      </c>
      <c r="H22" s="140"/>
      <c r="I22" s="30"/>
      <c r="J22" s="30"/>
      <c r="K22"/>
      <c r="L22"/>
      <c r="M22"/>
      <c r="N22"/>
      <c r="O22"/>
      <c r="P22"/>
      <c r="Q22"/>
      <c r="R22"/>
    </row>
    <row r="23" spans="1:18" s="25" customFormat="1" ht="44.25" customHeight="1">
      <c r="A23" s="85"/>
      <c r="B23" s="113"/>
      <c r="C23" s="114"/>
      <c r="D23" s="61"/>
      <c r="E23" s="87"/>
      <c r="F23" s="109"/>
      <c r="G23" s="141"/>
      <c r="H23" s="142"/>
      <c r="I23" s="30"/>
      <c r="J23" s="30"/>
      <c r="K23"/>
      <c r="L23"/>
      <c r="M23"/>
      <c r="N23"/>
      <c r="O23"/>
      <c r="P23"/>
      <c r="Q23"/>
      <c r="R23"/>
    </row>
    <row r="24" spans="1:18" s="25" customFormat="1" ht="44.25" customHeight="1">
      <c r="A24" s="85"/>
      <c r="B24" s="113"/>
      <c r="C24" s="114"/>
      <c r="D24" s="61"/>
      <c r="E24" s="87"/>
      <c r="F24" s="109"/>
      <c r="G24" s="130"/>
      <c r="H24" s="131"/>
      <c r="I24" s="30"/>
      <c r="J24" s="30"/>
      <c r="K24"/>
      <c r="L24"/>
      <c r="M24"/>
      <c r="N24"/>
      <c r="O24"/>
      <c r="P24"/>
      <c r="Q24"/>
      <c r="R24"/>
    </row>
    <row r="25" spans="1:18" s="25" customFormat="1" ht="44.25" customHeight="1">
      <c r="A25" s="85"/>
      <c r="B25" s="113"/>
      <c r="C25" s="114"/>
      <c r="D25" s="61"/>
      <c r="E25" s="61"/>
      <c r="F25" s="87"/>
      <c r="G25" s="130"/>
      <c r="H25" s="131"/>
      <c r="I25" s="30"/>
      <c r="J25" s="30"/>
      <c r="K25"/>
      <c r="L25"/>
      <c r="M25"/>
      <c r="N25"/>
      <c r="O25"/>
      <c r="P25"/>
      <c r="Q25"/>
      <c r="R25"/>
    </row>
    <row r="26" spans="1:18" s="25" customFormat="1" ht="44.25" customHeight="1">
      <c r="A26" s="85"/>
      <c r="B26" s="113"/>
      <c r="C26" s="114"/>
      <c r="D26" s="61"/>
      <c r="E26" s="61"/>
      <c r="F26" s="87"/>
      <c r="G26" s="130"/>
      <c r="H26" s="131"/>
      <c r="I26" s="30"/>
      <c r="J26" s="30"/>
      <c r="K26"/>
      <c r="L26"/>
      <c r="M26"/>
      <c r="N26"/>
      <c r="O26"/>
      <c r="P26"/>
      <c r="Q26"/>
      <c r="R26"/>
    </row>
    <row r="27" spans="1:18" s="25" customFormat="1" ht="44.25" customHeight="1">
      <c r="A27" s="85"/>
      <c r="B27" s="113"/>
      <c r="C27" s="114"/>
      <c r="D27" s="61"/>
      <c r="E27" s="61"/>
      <c r="F27" s="87"/>
      <c r="G27" s="130"/>
      <c r="H27" s="131"/>
      <c r="I27" s="30"/>
      <c r="J27" s="30"/>
      <c r="K27"/>
      <c r="L27"/>
      <c r="M27"/>
      <c r="N27"/>
      <c r="O27"/>
      <c r="P27"/>
      <c r="Q27"/>
      <c r="R27"/>
    </row>
    <row r="28" spans="1:18" s="25" customFormat="1" ht="44.25" customHeight="1">
      <c r="A28" s="88"/>
      <c r="B28" s="137"/>
      <c r="C28" s="138"/>
      <c r="D28" s="62"/>
      <c r="E28" s="62"/>
      <c r="F28" s="110"/>
      <c r="G28" s="132"/>
      <c r="H28" s="133"/>
      <c r="I28" s="30"/>
      <c r="J28" s="30"/>
      <c r="K28"/>
      <c r="L28"/>
      <c r="M28"/>
      <c r="N28"/>
      <c r="O28"/>
      <c r="P28"/>
      <c r="Q28"/>
      <c r="R28"/>
    </row>
    <row r="29" spans="1:18" s="25" customFormat="1" ht="16.8">
      <c r="A29" s="89"/>
      <c r="B29" s="30"/>
      <c r="C29" s="30"/>
      <c r="D29" s="30"/>
      <c r="E29" s="30"/>
      <c r="F29" s="30"/>
      <c r="G29" s="30"/>
      <c r="H29" s="30"/>
      <c r="I29" s="30"/>
      <c r="J29" s="30"/>
      <c r="K29"/>
      <c r="L29"/>
      <c r="M29"/>
      <c r="N29"/>
      <c r="O29"/>
      <c r="P29"/>
      <c r="Q29"/>
      <c r="R29"/>
    </row>
    <row r="30" spans="1:18" s="25" customFormat="1" ht="16.8">
      <c r="A30" s="89"/>
      <c r="B30" s="90" t="s">
        <v>67</v>
      </c>
      <c r="C30" s="30"/>
      <c r="D30" s="30"/>
      <c r="E30" s="30"/>
      <c r="F30" s="124" t="s">
        <v>6</v>
      </c>
      <c r="G30" s="124"/>
      <c r="H30" s="30"/>
      <c r="I30" s="30"/>
      <c r="J30" s="30"/>
      <c r="K30"/>
      <c r="L30"/>
      <c r="M30"/>
      <c r="N30"/>
      <c r="O30"/>
      <c r="P30"/>
      <c r="Q30"/>
      <c r="R30"/>
    </row>
    <row r="31" spans="1:18" s="25" customFormat="1" ht="16.8">
      <c r="A31" s="89"/>
      <c r="B31" s="90"/>
      <c r="C31" s="30"/>
      <c r="D31" s="30"/>
      <c r="E31" s="30"/>
      <c r="F31" s="147" t="s">
        <v>68</v>
      </c>
      <c r="G31" s="147"/>
      <c r="H31" s="30"/>
      <c r="I31" s="30"/>
      <c r="J31" s="30"/>
      <c r="K31"/>
      <c r="L31"/>
      <c r="M31"/>
      <c r="N31"/>
      <c r="O31"/>
      <c r="P31"/>
      <c r="Q31"/>
      <c r="R31"/>
    </row>
    <row r="32" spans="1:18" s="25" customFormat="1" ht="16.8">
      <c r="A32" s="89"/>
      <c r="B32" s="30"/>
      <c r="C32" s="30"/>
      <c r="D32" s="30"/>
      <c r="E32" s="30"/>
      <c r="F32" s="30"/>
      <c r="G32" s="30"/>
      <c r="H32" s="30"/>
      <c r="I32" s="30"/>
      <c r="J32" s="30"/>
      <c r="K32"/>
      <c r="L32"/>
      <c r="M32"/>
      <c r="N32"/>
      <c r="O32"/>
      <c r="P32"/>
      <c r="Q32"/>
      <c r="R32"/>
    </row>
    <row r="33" spans="1:18" s="25" customFormat="1" ht="16.8">
      <c r="A33" s="89"/>
      <c r="B33" s="30"/>
      <c r="C33" s="30"/>
      <c r="D33" s="30"/>
      <c r="E33" s="30"/>
      <c r="F33" s="30"/>
      <c r="G33" s="30"/>
      <c r="H33" s="30"/>
      <c r="I33" s="30"/>
      <c r="J33" s="30"/>
      <c r="K33"/>
      <c r="L33"/>
      <c r="M33"/>
      <c r="N33"/>
      <c r="O33"/>
      <c r="P33"/>
      <c r="Q33"/>
      <c r="R33"/>
    </row>
    <row r="34" spans="1:18" s="25" customFormat="1" ht="16.8">
      <c r="A34" s="89"/>
      <c r="B34" s="30"/>
      <c r="C34" s="30"/>
      <c r="D34" s="30"/>
      <c r="E34" s="30"/>
      <c r="F34" s="30"/>
      <c r="G34" s="30"/>
      <c r="H34" s="30"/>
      <c r="I34" s="30"/>
      <c r="J34" s="30"/>
      <c r="K34"/>
      <c r="L34"/>
      <c r="M34"/>
      <c r="N34"/>
      <c r="O34"/>
      <c r="P34"/>
      <c r="Q34"/>
      <c r="R34"/>
    </row>
    <row r="35" spans="1:18" s="25" customFormat="1" ht="21" customHeight="1">
      <c r="A35" s="89"/>
      <c r="B35" s="68"/>
      <c r="C35" s="30"/>
      <c r="D35" s="30"/>
      <c r="E35" s="30"/>
      <c r="F35" s="91" t="s">
        <v>69</v>
      </c>
      <c r="G35" s="91"/>
      <c r="H35" s="30"/>
      <c r="I35" s="30"/>
      <c r="J35" s="30"/>
      <c r="K35"/>
      <c r="L35"/>
      <c r="M35"/>
      <c r="N35"/>
      <c r="O35"/>
      <c r="P35"/>
      <c r="Q35"/>
      <c r="R35"/>
    </row>
    <row r="36" spans="1:18" s="25" customFormat="1" ht="21" customHeight="1">
      <c r="A36" s="89"/>
      <c r="B36" s="30"/>
      <c r="C36" s="30"/>
      <c r="D36" s="30"/>
      <c r="E36" s="30"/>
      <c r="F36" s="30"/>
      <c r="G36" s="30"/>
      <c r="H36" s="30"/>
      <c r="I36" s="30"/>
      <c r="J36" s="30"/>
      <c r="K36"/>
      <c r="L36"/>
      <c r="M36"/>
      <c r="N36"/>
      <c r="O36"/>
      <c r="P36"/>
      <c r="Q36"/>
      <c r="R36"/>
    </row>
    <row r="37" spans="1:18" s="25" customFormat="1" ht="17.399999999999999">
      <c r="A37" s="71" t="s">
        <v>71</v>
      </c>
      <c r="B37" s="77" t="s">
        <v>72</v>
      </c>
      <c r="C37" s="30"/>
      <c r="D37" s="30"/>
      <c r="E37" s="30"/>
      <c r="F37" s="30"/>
      <c r="G37" s="30"/>
      <c r="H37" s="30"/>
      <c r="I37" s="30"/>
      <c r="J37" s="30"/>
      <c r="K37"/>
      <c r="L37"/>
      <c r="M37"/>
      <c r="N37"/>
      <c r="O37"/>
      <c r="P37"/>
      <c r="Q37"/>
      <c r="R37"/>
    </row>
    <row r="38" spans="1:18" s="25" customFormat="1" ht="16.8">
      <c r="A38" s="72" t="s">
        <v>53</v>
      </c>
      <c r="B38" s="38" t="s">
        <v>73</v>
      </c>
      <c r="C38" s="30"/>
      <c r="D38" s="30"/>
      <c r="E38" s="30"/>
      <c r="F38" s="30"/>
      <c r="G38" s="30"/>
      <c r="H38" s="30"/>
      <c r="I38" s="30"/>
      <c r="J38" s="30"/>
      <c r="K38"/>
      <c r="L38"/>
      <c r="M38"/>
      <c r="N38"/>
      <c r="O38"/>
      <c r="P38"/>
      <c r="Q38"/>
      <c r="R38"/>
    </row>
    <row r="39" spans="1:18" s="25" customFormat="1" ht="16.8" hidden="1">
      <c r="A39" s="89"/>
      <c r="B39" s="30"/>
      <c r="C39" s="30"/>
      <c r="D39" s="30"/>
      <c r="E39" s="30"/>
      <c r="F39" s="30"/>
      <c r="G39" s="30"/>
      <c r="H39" s="30"/>
      <c r="I39" s="30"/>
      <c r="J39" s="30"/>
      <c r="K39"/>
      <c r="L39"/>
      <c r="M39"/>
      <c r="N39"/>
      <c r="O39"/>
      <c r="P39"/>
      <c r="Q39"/>
      <c r="R39"/>
    </row>
    <row r="40" spans="1:18" s="25" customFormat="1" ht="16.8">
      <c r="A40" s="92"/>
      <c r="B40" s="30"/>
      <c r="C40" s="30"/>
      <c r="D40" s="30"/>
      <c r="E40" s="30"/>
      <c r="F40" s="30"/>
      <c r="G40" s="30"/>
      <c r="H40" s="30"/>
      <c r="I40" s="30"/>
      <c r="J40" s="30"/>
      <c r="K40"/>
      <c r="L40"/>
      <c r="M40"/>
      <c r="N40"/>
      <c r="O40"/>
      <c r="P40"/>
      <c r="Q40"/>
      <c r="R40"/>
    </row>
    <row r="41" spans="1:18" s="25" customFormat="1" ht="25.5" customHeight="1">
      <c r="A41" s="134" t="s">
        <v>74</v>
      </c>
      <c r="B41" s="135"/>
      <c r="C41" s="135"/>
      <c r="D41" s="135"/>
      <c r="E41" s="136"/>
      <c r="F41" s="134" t="s">
        <v>75</v>
      </c>
      <c r="G41" s="135"/>
      <c r="H41" s="135"/>
      <c r="I41" s="135"/>
      <c r="J41" s="136"/>
      <c r="K41"/>
      <c r="L41"/>
      <c r="M41"/>
      <c r="N41"/>
      <c r="O41"/>
      <c r="P41"/>
      <c r="Q41"/>
      <c r="R41"/>
    </row>
    <row r="42" spans="1:18" s="25" customFormat="1" ht="32.25" customHeight="1">
      <c r="A42" s="83" t="s">
        <v>11</v>
      </c>
      <c r="B42" s="80" t="s">
        <v>76</v>
      </c>
      <c r="C42" s="80" t="s">
        <v>77</v>
      </c>
      <c r="D42" s="80" t="s">
        <v>78</v>
      </c>
      <c r="E42" s="80" t="s">
        <v>14</v>
      </c>
      <c r="F42" s="80" t="s">
        <v>11</v>
      </c>
      <c r="G42" s="80" t="s">
        <v>79</v>
      </c>
      <c r="H42" s="80" t="s">
        <v>77</v>
      </c>
      <c r="I42" s="80" t="s">
        <v>78</v>
      </c>
      <c r="J42" s="80" t="s">
        <v>14</v>
      </c>
      <c r="K42"/>
      <c r="L42"/>
      <c r="M42"/>
      <c r="N42"/>
      <c r="O42"/>
      <c r="P42"/>
      <c r="Q42"/>
      <c r="R42"/>
    </row>
    <row r="43" spans="1:18" s="25" customFormat="1" ht="25.5" customHeight="1">
      <c r="A43" s="84"/>
      <c r="B43" s="93"/>
      <c r="C43" s="59"/>
      <c r="D43" s="59"/>
      <c r="E43" s="59"/>
      <c r="F43" s="59"/>
      <c r="G43" s="59"/>
      <c r="H43" s="60"/>
      <c r="I43" s="59"/>
      <c r="J43" s="59"/>
      <c r="K43"/>
      <c r="L43"/>
      <c r="M43"/>
      <c r="N43"/>
      <c r="O43"/>
      <c r="P43"/>
      <c r="Q43"/>
      <c r="R43"/>
    </row>
    <row r="44" spans="1:18" s="25" customFormat="1" ht="25.5" customHeight="1">
      <c r="A44" s="85"/>
      <c r="B44" s="86"/>
      <c r="C44" s="61"/>
      <c r="D44" s="61"/>
      <c r="E44" s="61"/>
      <c r="F44" s="61"/>
      <c r="G44" s="61"/>
      <c r="H44" s="61"/>
      <c r="I44" s="61"/>
      <c r="J44" s="61"/>
      <c r="K44"/>
      <c r="L44"/>
      <c r="M44"/>
      <c r="N44"/>
      <c r="O44"/>
      <c r="P44"/>
      <c r="Q44"/>
      <c r="R44"/>
    </row>
    <row r="45" spans="1:18" s="25" customFormat="1" ht="25.5" customHeight="1">
      <c r="A45" s="85"/>
      <c r="B45" s="86"/>
      <c r="C45" s="61"/>
      <c r="D45" s="61"/>
      <c r="E45" s="61"/>
      <c r="F45" s="61"/>
      <c r="G45" s="61"/>
      <c r="H45" s="61"/>
      <c r="I45" s="61"/>
      <c r="J45" s="61"/>
      <c r="K45"/>
      <c r="L45"/>
      <c r="M45"/>
      <c r="N45"/>
      <c r="O45"/>
      <c r="P45"/>
      <c r="Q45"/>
      <c r="R45"/>
    </row>
    <row r="46" spans="1:18" s="27" customFormat="1" ht="25.5" customHeight="1">
      <c r="A46" s="85"/>
      <c r="B46" s="86"/>
      <c r="C46" s="61"/>
      <c r="D46" s="61"/>
      <c r="E46" s="61"/>
      <c r="F46" s="61"/>
      <c r="G46" s="61"/>
      <c r="H46" s="61"/>
      <c r="I46" s="61"/>
      <c r="J46" s="61"/>
      <c r="K46"/>
      <c r="L46"/>
      <c r="M46"/>
      <c r="N46"/>
      <c r="O46"/>
      <c r="P46"/>
      <c r="Q46"/>
      <c r="R46"/>
    </row>
    <row r="47" spans="1:18" ht="23.25" customHeight="1">
      <c r="A47" s="85"/>
      <c r="B47" s="86"/>
      <c r="C47" s="61"/>
      <c r="D47" s="61"/>
      <c r="E47" s="61"/>
      <c r="F47" s="61"/>
      <c r="G47" s="61"/>
      <c r="H47" s="61"/>
      <c r="I47" s="61"/>
      <c r="J47" s="61"/>
    </row>
    <row r="48" spans="1:18" ht="23.25" customHeight="1">
      <c r="A48" s="85"/>
      <c r="B48" s="86"/>
      <c r="C48" s="61"/>
      <c r="D48" s="61"/>
      <c r="E48" s="61"/>
      <c r="F48" s="61"/>
      <c r="G48" s="61"/>
      <c r="H48" s="61"/>
      <c r="I48" s="61"/>
      <c r="J48" s="61"/>
    </row>
    <row r="49" spans="1:18" ht="23.25" customHeight="1">
      <c r="A49" s="85"/>
      <c r="B49" s="86"/>
      <c r="C49" s="61"/>
      <c r="D49" s="61"/>
      <c r="E49" s="61"/>
      <c r="F49" s="61"/>
      <c r="G49" s="61"/>
      <c r="H49" s="61"/>
      <c r="I49" s="61"/>
      <c r="J49" s="61"/>
    </row>
    <row r="50" spans="1:18" ht="23.25" customHeight="1">
      <c r="A50" s="85"/>
      <c r="B50" s="86"/>
      <c r="C50" s="61"/>
      <c r="D50" s="61"/>
      <c r="E50" s="61"/>
      <c r="F50" s="61"/>
      <c r="G50" s="61"/>
      <c r="H50" s="61"/>
      <c r="I50" s="61"/>
      <c r="J50" s="61"/>
    </row>
    <row r="51" spans="1:18" ht="23.25" customHeight="1">
      <c r="A51" s="85"/>
      <c r="B51" s="86"/>
      <c r="C51" s="61"/>
      <c r="D51" s="61"/>
      <c r="E51" s="61"/>
      <c r="F51" s="61"/>
      <c r="G51" s="61"/>
      <c r="H51" s="61"/>
      <c r="I51" s="61"/>
      <c r="J51" s="61"/>
    </row>
    <row r="52" spans="1:18" ht="23.25" customHeight="1">
      <c r="A52" s="85"/>
      <c r="B52" s="86"/>
      <c r="C52" s="61"/>
      <c r="D52" s="61"/>
      <c r="E52" s="61"/>
      <c r="F52" s="61"/>
      <c r="G52" s="61"/>
      <c r="H52" s="61"/>
      <c r="I52" s="61"/>
      <c r="J52" s="61"/>
    </row>
    <row r="53" spans="1:18" s="27" customFormat="1" ht="25.5" customHeight="1">
      <c r="A53" s="85"/>
      <c r="B53" s="86"/>
      <c r="C53" s="61"/>
      <c r="D53" s="61"/>
      <c r="E53" s="61"/>
      <c r="F53" s="61"/>
      <c r="G53" s="61"/>
      <c r="H53" s="61"/>
      <c r="I53" s="61"/>
      <c r="J53" s="61"/>
      <c r="K53"/>
      <c r="L53"/>
      <c r="M53"/>
      <c r="N53"/>
      <c r="O53"/>
      <c r="P53"/>
      <c r="Q53"/>
      <c r="R53"/>
    </row>
    <row r="54" spans="1:18" ht="23.25" customHeight="1">
      <c r="A54" s="85"/>
      <c r="B54" s="86"/>
      <c r="C54" s="61"/>
      <c r="D54" s="61"/>
      <c r="E54" s="61"/>
      <c r="F54" s="61"/>
      <c r="G54" s="61"/>
      <c r="H54" s="61"/>
      <c r="I54" s="61"/>
      <c r="J54" s="61"/>
    </row>
    <row r="55" spans="1:18" ht="23.25" customHeight="1">
      <c r="A55" s="85"/>
      <c r="B55" s="86"/>
      <c r="C55" s="61"/>
      <c r="D55" s="61"/>
      <c r="E55" s="61"/>
      <c r="F55" s="61"/>
      <c r="G55" s="61"/>
      <c r="H55" s="61"/>
      <c r="I55" s="61"/>
      <c r="J55" s="61"/>
    </row>
    <row r="56" spans="1:18" ht="23.25" customHeight="1">
      <c r="A56" s="85"/>
      <c r="B56" s="86"/>
      <c r="C56" s="61"/>
      <c r="D56" s="61"/>
      <c r="E56" s="61"/>
      <c r="F56" s="61"/>
      <c r="G56" s="61"/>
      <c r="H56" s="61"/>
      <c r="I56" s="61"/>
      <c r="J56" s="61"/>
    </row>
    <row r="57" spans="1:18" ht="23.25" customHeight="1">
      <c r="A57" s="85"/>
      <c r="B57" s="86"/>
      <c r="C57" s="61"/>
      <c r="D57" s="61"/>
      <c r="E57" s="61"/>
      <c r="F57" s="61"/>
      <c r="G57" s="61"/>
      <c r="H57" s="61"/>
      <c r="I57" s="61"/>
      <c r="J57" s="61"/>
    </row>
    <row r="58" spans="1:18" ht="23.25" customHeight="1">
      <c r="A58" s="85"/>
      <c r="B58" s="86"/>
      <c r="C58" s="61"/>
      <c r="D58" s="61"/>
      <c r="E58" s="61"/>
      <c r="F58" s="61"/>
      <c r="G58" s="61"/>
      <c r="H58" s="61"/>
      <c r="I58" s="61"/>
      <c r="J58" s="61"/>
    </row>
    <row r="59" spans="1:18" ht="23.25" customHeight="1">
      <c r="A59" s="85"/>
      <c r="B59" s="86"/>
      <c r="C59" s="61"/>
      <c r="D59" s="61"/>
      <c r="E59" s="61"/>
      <c r="F59" s="61"/>
      <c r="G59" s="61"/>
      <c r="H59" s="61"/>
      <c r="I59" s="61"/>
      <c r="J59" s="61"/>
    </row>
    <row r="60" spans="1:18" ht="23.25" customHeight="1">
      <c r="A60" s="85"/>
      <c r="B60" s="86"/>
      <c r="C60" s="61"/>
      <c r="D60" s="61"/>
      <c r="E60" s="61"/>
      <c r="F60" s="61"/>
      <c r="G60" s="61"/>
      <c r="H60" s="61"/>
      <c r="I60" s="61"/>
      <c r="J60" s="61"/>
    </row>
    <row r="61" spans="1:18" ht="23.25" customHeight="1">
      <c r="A61" s="85"/>
      <c r="B61" s="86"/>
      <c r="C61" s="61"/>
      <c r="D61" s="61"/>
      <c r="E61" s="61"/>
      <c r="F61" s="61"/>
      <c r="G61" s="61"/>
      <c r="H61" s="61"/>
      <c r="I61" s="61"/>
      <c r="J61" s="61"/>
    </row>
    <row r="62" spans="1:18" ht="23.25" customHeight="1">
      <c r="A62" s="85"/>
      <c r="B62" s="86"/>
      <c r="C62" s="61"/>
      <c r="D62" s="61"/>
      <c r="E62" s="61"/>
      <c r="F62" s="61"/>
      <c r="G62" s="61"/>
      <c r="H62" s="61"/>
      <c r="I62" s="61"/>
      <c r="J62" s="61"/>
    </row>
    <row r="63" spans="1:18" ht="23.25" customHeight="1">
      <c r="A63" s="85"/>
      <c r="B63" s="86"/>
      <c r="C63" s="61"/>
      <c r="D63" s="61"/>
      <c r="E63" s="61"/>
      <c r="F63" s="61"/>
      <c r="G63" s="61"/>
      <c r="H63" s="61"/>
      <c r="I63" s="61"/>
      <c r="J63" s="61"/>
    </row>
    <row r="64" spans="1:18" ht="23.25" customHeight="1">
      <c r="A64" s="85"/>
      <c r="B64" s="86"/>
      <c r="C64" s="61"/>
      <c r="D64" s="61"/>
      <c r="E64" s="61"/>
      <c r="F64" s="61"/>
      <c r="G64" s="61"/>
      <c r="H64" s="61"/>
      <c r="I64" s="61"/>
      <c r="J64" s="61"/>
    </row>
    <row r="65" spans="1:10" ht="23.25" customHeight="1">
      <c r="A65" s="85"/>
      <c r="B65" s="86"/>
      <c r="C65" s="61"/>
      <c r="D65" s="61"/>
      <c r="E65" s="61"/>
      <c r="F65" s="61"/>
      <c r="G65" s="61"/>
      <c r="H65" s="61"/>
      <c r="I65" s="61"/>
      <c r="J65" s="61"/>
    </row>
    <row r="66" spans="1:10" ht="23.25" customHeight="1">
      <c r="A66" s="85"/>
      <c r="B66" s="86"/>
      <c r="C66" s="61"/>
      <c r="D66" s="61"/>
      <c r="E66" s="61"/>
      <c r="F66" s="61"/>
      <c r="G66" s="61"/>
      <c r="H66" s="61"/>
      <c r="I66" s="61"/>
      <c r="J66" s="61"/>
    </row>
    <row r="67" spans="1:10" ht="23.25" customHeight="1">
      <c r="A67" s="94"/>
      <c r="B67" s="95"/>
      <c r="C67" s="96"/>
      <c r="D67" s="96"/>
      <c r="E67" s="96"/>
      <c r="F67" s="96"/>
      <c r="G67" s="96"/>
      <c r="H67" s="96"/>
      <c r="I67" s="96"/>
      <c r="J67" s="96"/>
    </row>
    <row r="68" spans="1:10" ht="23.25" customHeight="1">
      <c r="A68" s="97" t="s">
        <v>80</v>
      </c>
      <c r="B68" s="98"/>
      <c r="C68" s="99"/>
      <c r="D68" s="99"/>
      <c r="E68" s="99"/>
      <c r="F68" s="99" t="s">
        <v>81</v>
      </c>
      <c r="G68" s="99"/>
      <c r="H68" s="99"/>
      <c r="I68" s="99"/>
      <c r="J68" s="99"/>
    </row>
    <row r="69" spans="1:10">
      <c r="A69" s="70"/>
      <c r="B69" s="64"/>
      <c r="C69" s="64"/>
      <c r="D69" s="64"/>
      <c r="E69" s="65"/>
      <c r="F69" s="65"/>
      <c r="G69" s="65"/>
      <c r="H69" s="65"/>
      <c r="I69" s="42"/>
      <c r="J69" s="42"/>
    </row>
    <row r="70" spans="1:10" ht="15.6">
      <c r="A70" s="72" t="s">
        <v>54</v>
      </c>
      <c r="B70" s="127" t="s">
        <v>82</v>
      </c>
      <c r="C70" s="127"/>
      <c r="D70" s="64"/>
      <c r="E70" s="65"/>
      <c r="F70" s="65"/>
      <c r="G70" s="65"/>
      <c r="H70" s="65"/>
      <c r="I70" s="42"/>
      <c r="J70" s="42"/>
    </row>
    <row r="71" spans="1:10">
      <c r="A71" s="70"/>
      <c r="B71" s="64"/>
      <c r="C71" s="64"/>
      <c r="D71" s="64"/>
      <c r="E71" s="65"/>
      <c r="F71" s="65"/>
      <c r="G71" s="65"/>
      <c r="H71" s="65"/>
      <c r="I71" s="42"/>
      <c r="J71" s="42"/>
    </row>
    <row r="72" spans="1:10">
      <c r="A72" s="70"/>
      <c r="B72" s="64"/>
      <c r="C72" s="64"/>
      <c r="D72" s="64"/>
      <c r="E72" s="65"/>
      <c r="F72" s="65"/>
      <c r="G72" s="65"/>
      <c r="H72" s="65"/>
      <c r="I72" s="42"/>
      <c r="J72" s="42"/>
    </row>
    <row r="73" spans="1:10" ht="31.2">
      <c r="A73" s="70"/>
      <c r="B73" s="100" t="s">
        <v>83</v>
      </c>
      <c r="C73" s="100" t="s">
        <v>84</v>
      </c>
      <c r="D73" s="100" t="s">
        <v>85</v>
      </c>
      <c r="E73" s="100" t="s">
        <v>86</v>
      </c>
      <c r="F73" s="128" t="s">
        <v>87</v>
      </c>
      <c r="G73" s="128"/>
      <c r="H73" s="117" t="s">
        <v>88</v>
      </c>
      <c r="I73" s="118"/>
      <c r="J73" s="42"/>
    </row>
    <row r="74" spans="1:10" ht="24.75" customHeight="1">
      <c r="A74" s="70"/>
      <c r="B74" s="101"/>
      <c r="C74" s="101"/>
      <c r="D74" s="101"/>
      <c r="E74" s="101"/>
      <c r="F74" s="129"/>
      <c r="G74" s="129"/>
      <c r="H74" s="119"/>
      <c r="I74" s="120"/>
      <c r="J74" s="42"/>
    </row>
    <row r="75" spans="1:10" ht="24.75" customHeight="1">
      <c r="A75" s="92"/>
      <c r="B75" s="102"/>
      <c r="C75" s="102"/>
      <c r="D75" s="102"/>
      <c r="E75" s="102"/>
      <c r="F75" s="121"/>
      <c r="G75" s="121"/>
      <c r="H75" s="115"/>
      <c r="I75" s="116"/>
      <c r="J75" s="42"/>
    </row>
    <row r="76" spans="1:10" ht="24.75" customHeight="1">
      <c r="A76" s="92"/>
      <c r="B76" s="102"/>
      <c r="C76" s="102"/>
      <c r="D76" s="102"/>
      <c r="E76" s="102"/>
      <c r="F76" s="121"/>
      <c r="G76" s="121"/>
      <c r="H76" s="115"/>
      <c r="I76" s="116"/>
      <c r="J76" s="42"/>
    </row>
    <row r="77" spans="1:10" ht="24.75" customHeight="1">
      <c r="A77" s="92"/>
      <c r="B77" s="102"/>
      <c r="C77" s="102"/>
      <c r="D77" s="102"/>
      <c r="E77" s="102"/>
      <c r="F77" s="121"/>
      <c r="G77" s="121"/>
      <c r="H77" s="115"/>
      <c r="I77" s="116"/>
      <c r="J77" s="42"/>
    </row>
    <row r="78" spans="1:10" ht="24.75" customHeight="1">
      <c r="A78" s="92"/>
      <c r="B78" s="102"/>
      <c r="C78" s="102"/>
      <c r="D78" s="102"/>
      <c r="E78" s="102"/>
      <c r="F78" s="121"/>
      <c r="G78" s="121"/>
      <c r="H78" s="115"/>
      <c r="I78" s="116"/>
      <c r="J78" s="42"/>
    </row>
    <row r="79" spans="1:10" ht="24.75" customHeight="1">
      <c r="A79" s="92"/>
      <c r="B79" s="102"/>
      <c r="C79" s="102"/>
      <c r="D79" s="102"/>
      <c r="E79" s="102"/>
      <c r="F79" s="121"/>
      <c r="G79" s="121"/>
      <c r="H79" s="115"/>
      <c r="I79" s="116"/>
      <c r="J79" s="42"/>
    </row>
    <row r="80" spans="1:10" ht="24.75" customHeight="1">
      <c r="A80" s="92"/>
      <c r="B80" s="102"/>
      <c r="C80" s="102"/>
      <c r="D80" s="102"/>
      <c r="E80" s="102"/>
      <c r="F80" s="121"/>
      <c r="G80" s="121"/>
      <c r="H80" s="115"/>
      <c r="I80" s="116"/>
      <c r="J80" s="42"/>
    </row>
    <row r="81" spans="1:10" ht="24.75" customHeight="1">
      <c r="A81" s="92"/>
      <c r="B81" s="102"/>
      <c r="C81" s="102"/>
      <c r="D81" s="102"/>
      <c r="E81" s="102"/>
      <c r="F81" s="121"/>
      <c r="G81" s="121"/>
      <c r="H81" s="115"/>
      <c r="I81" s="116"/>
      <c r="J81" s="42"/>
    </row>
    <row r="82" spans="1:10" ht="24.75" customHeight="1">
      <c r="A82" s="92"/>
      <c r="B82" s="102"/>
      <c r="C82" s="102"/>
      <c r="D82" s="102"/>
      <c r="E82" s="102"/>
      <c r="F82" s="121"/>
      <c r="G82" s="121"/>
      <c r="H82" s="115"/>
      <c r="I82" s="116"/>
      <c r="J82" s="42"/>
    </row>
    <row r="83" spans="1:10" ht="24.75" customHeight="1">
      <c r="A83" s="92"/>
      <c r="B83" s="102"/>
      <c r="C83" s="102"/>
      <c r="D83" s="102"/>
      <c r="E83" s="102"/>
      <c r="F83" s="121"/>
      <c r="G83" s="121"/>
      <c r="H83" s="115"/>
      <c r="I83" s="116"/>
      <c r="J83" s="42"/>
    </row>
    <row r="84" spans="1:10" ht="24.75" customHeight="1">
      <c r="A84" s="92"/>
      <c r="B84" s="102"/>
      <c r="C84" s="102"/>
      <c r="D84" s="102"/>
      <c r="E84" s="102"/>
      <c r="F84" s="121"/>
      <c r="G84" s="121"/>
      <c r="H84" s="115"/>
      <c r="I84" s="116"/>
      <c r="J84" s="42"/>
    </row>
    <row r="85" spans="1:10" ht="24.75" customHeight="1">
      <c r="A85" s="92"/>
      <c r="B85" s="102"/>
      <c r="C85" s="102"/>
      <c r="D85" s="102"/>
      <c r="E85" s="102"/>
      <c r="F85" s="121"/>
      <c r="G85" s="121"/>
      <c r="H85" s="115"/>
      <c r="I85" s="116"/>
      <c r="J85" s="42"/>
    </row>
    <row r="86" spans="1:10" ht="24.75" customHeight="1">
      <c r="A86" s="92"/>
      <c r="B86" s="102"/>
      <c r="C86" s="102"/>
      <c r="D86" s="102"/>
      <c r="E86" s="102"/>
      <c r="F86" s="121"/>
      <c r="G86" s="121"/>
      <c r="H86" s="115"/>
      <c r="I86" s="116"/>
      <c r="J86" s="42"/>
    </row>
    <row r="87" spans="1:10" ht="24.75" customHeight="1">
      <c r="A87" s="92"/>
      <c r="B87" s="102"/>
      <c r="C87" s="102"/>
      <c r="D87" s="102"/>
      <c r="E87" s="102"/>
      <c r="F87" s="121"/>
      <c r="G87" s="121"/>
      <c r="H87" s="115"/>
      <c r="I87" s="116"/>
      <c r="J87" s="42"/>
    </row>
    <row r="88" spans="1:10" ht="24.75" customHeight="1">
      <c r="A88" s="92"/>
      <c r="B88" s="102"/>
      <c r="C88" s="102"/>
      <c r="D88" s="102"/>
      <c r="E88" s="102"/>
      <c r="F88" s="121"/>
      <c r="G88" s="121"/>
      <c r="H88" s="115"/>
      <c r="I88" s="116"/>
      <c r="J88" s="42"/>
    </row>
    <row r="89" spans="1:10" ht="24.75" customHeight="1">
      <c r="A89" s="69"/>
      <c r="B89" s="102"/>
      <c r="C89" s="102"/>
      <c r="D89" s="102"/>
      <c r="E89" s="102"/>
      <c r="F89" s="121"/>
      <c r="G89" s="121"/>
      <c r="H89" s="115"/>
      <c r="I89" s="116"/>
      <c r="J89" s="42"/>
    </row>
    <row r="90" spans="1:10" ht="24.75" customHeight="1">
      <c r="A90" s="69"/>
      <c r="B90" s="103"/>
      <c r="C90" s="103"/>
      <c r="D90" s="103"/>
      <c r="E90" s="103"/>
      <c r="F90" s="122"/>
      <c r="G90" s="122"/>
      <c r="H90" s="125"/>
      <c r="I90" s="126"/>
      <c r="J90" s="42"/>
    </row>
    <row r="91" spans="1:10">
      <c r="A91" s="69"/>
      <c r="B91" s="41"/>
      <c r="C91" s="41"/>
      <c r="D91" s="41"/>
      <c r="E91" s="42"/>
      <c r="F91" s="43"/>
      <c r="G91" s="42"/>
      <c r="H91" s="42"/>
      <c r="I91" s="42"/>
      <c r="J91" s="42"/>
    </row>
    <row r="92" spans="1:10">
      <c r="A92" s="69"/>
      <c r="B92" s="41"/>
      <c r="C92" s="41"/>
      <c r="D92" s="41"/>
      <c r="E92" s="42"/>
      <c r="F92" s="43"/>
      <c r="G92" s="42"/>
      <c r="H92" s="42"/>
      <c r="I92" s="42"/>
      <c r="J92" s="42"/>
    </row>
    <row r="93" spans="1:10" ht="16.8">
      <c r="A93" s="69"/>
      <c r="B93" s="41"/>
      <c r="C93" s="41"/>
      <c r="D93" s="41"/>
      <c r="E93" s="42"/>
      <c r="F93" s="104"/>
      <c r="G93" s="42"/>
      <c r="H93" s="104" t="s">
        <v>89</v>
      </c>
      <c r="I93" s="42"/>
      <c r="J93" s="42"/>
    </row>
    <row r="94" spans="1:10">
      <c r="A94" s="69"/>
      <c r="B94" s="41"/>
      <c r="C94" s="41"/>
      <c r="D94" s="41"/>
      <c r="E94" s="42"/>
      <c r="F94" s="43"/>
      <c r="G94" s="42"/>
      <c r="H94" s="42"/>
      <c r="I94" s="42"/>
      <c r="J94" s="42"/>
    </row>
    <row r="95" spans="1:10">
      <c r="A95" s="69"/>
      <c r="B95" s="41"/>
      <c r="C95" s="41"/>
      <c r="D95" s="41"/>
      <c r="E95" s="42"/>
      <c r="F95" s="43"/>
      <c r="G95" s="42"/>
      <c r="H95" s="42"/>
      <c r="I95" s="42"/>
      <c r="J95" s="42"/>
    </row>
    <row r="96" spans="1:10" ht="49.5" customHeight="1">
      <c r="A96" s="69"/>
      <c r="B96" s="123" t="s">
        <v>24</v>
      </c>
      <c r="C96" s="123"/>
      <c r="D96" s="41"/>
      <c r="E96" s="105" t="s">
        <v>25</v>
      </c>
      <c r="F96" s="43"/>
      <c r="G96" s="124" t="s">
        <v>6</v>
      </c>
      <c r="H96" s="124"/>
      <c r="I96" s="124"/>
      <c r="J96" s="42"/>
    </row>
    <row r="97" spans="1:10" ht="16.8">
      <c r="A97" s="69"/>
      <c r="B97" s="41"/>
      <c r="C97" s="41"/>
      <c r="D97" s="41"/>
      <c r="E97" s="42"/>
      <c r="F97" s="43"/>
      <c r="G97" s="42"/>
      <c r="H97" s="106" t="s">
        <v>68</v>
      </c>
      <c r="I97" s="42"/>
      <c r="J97" s="42"/>
    </row>
    <row r="98" spans="1:10">
      <c r="A98" s="69"/>
      <c r="B98" s="41"/>
      <c r="C98" s="41"/>
      <c r="D98" s="41"/>
      <c r="E98" s="42"/>
      <c r="F98" s="43"/>
      <c r="G98" s="42"/>
      <c r="H98" s="42"/>
      <c r="I98" s="42"/>
      <c r="J98" s="42"/>
    </row>
    <row r="99" spans="1:10">
      <c r="A99" s="69"/>
      <c r="B99" s="41"/>
      <c r="C99" s="41"/>
      <c r="D99" s="41"/>
      <c r="E99" s="42"/>
      <c r="F99" s="43"/>
      <c r="G99" s="42"/>
      <c r="H99" s="42"/>
      <c r="I99" s="42"/>
      <c r="J99" s="42"/>
    </row>
    <row r="100" spans="1:10">
      <c r="A100" s="69"/>
      <c r="B100" s="41"/>
      <c r="C100" s="41"/>
      <c r="D100" s="41"/>
      <c r="E100" s="42"/>
      <c r="F100" s="43"/>
      <c r="G100" s="42"/>
      <c r="H100" s="42"/>
      <c r="I100" s="42"/>
      <c r="J100" s="42"/>
    </row>
    <row r="101" spans="1:10">
      <c r="A101" s="69"/>
      <c r="B101" s="41"/>
      <c r="C101" s="41"/>
      <c r="D101" s="41"/>
      <c r="E101" s="42"/>
      <c r="F101" s="43"/>
      <c r="G101" s="42"/>
      <c r="H101" s="42"/>
      <c r="I101" s="42"/>
      <c r="J101" s="42"/>
    </row>
    <row r="102" spans="1:10">
      <c r="A102" s="69"/>
      <c r="B102" s="41"/>
      <c r="C102" s="41"/>
      <c r="D102" s="41"/>
      <c r="E102" s="42"/>
      <c r="F102" s="43"/>
      <c r="G102" s="42"/>
      <c r="H102" s="42"/>
      <c r="I102" s="42"/>
      <c r="J102" s="42"/>
    </row>
  </sheetData>
  <mergeCells count="64">
    <mergeCell ref="A2:J2"/>
    <mergeCell ref="C17:D17"/>
    <mergeCell ref="G16:H16"/>
    <mergeCell ref="G17:H17"/>
    <mergeCell ref="G21:H21"/>
    <mergeCell ref="B21:C21"/>
    <mergeCell ref="C16:D16"/>
    <mergeCell ref="G22:H22"/>
    <mergeCell ref="G23:H23"/>
    <mergeCell ref="G24:H24"/>
    <mergeCell ref="G25:H25"/>
    <mergeCell ref="G26:H26"/>
    <mergeCell ref="G27:H27"/>
    <mergeCell ref="G28:H28"/>
    <mergeCell ref="A41:E41"/>
    <mergeCell ref="F41:J41"/>
    <mergeCell ref="B27:C27"/>
    <mergeCell ref="B28:C28"/>
    <mergeCell ref="F30:G30"/>
    <mergeCell ref="F31:G31"/>
    <mergeCell ref="B70:C70"/>
    <mergeCell ref="F73:G73"/>
    <mergeCell ref="F74:G74"/>
    <mergeCell ref="F75:G75"/>
    <mergeCell ref="F82:G82"/>
    <mergeCell ref="F76:G76"/>
    <mergeCell ref="F77:G77"/>
    <mergeCell ref="F78:G78"/>
    <mergeCell ref="F79:G79"/>
    <mergeCell ref="F80:G80"/>
    <mergeCell ref="F81:G81"/>
    <mergeCell ref="F83:G83"/>
    <mergeCell ref="F84:G84"/>
    <mergeCell ref="F85:G85"/>
    <mergeCell ref="F86:G86"/>
    <mergeCell ref="F87:G87"/>
    <mergeCell ref="F88:G88"/>
    <mergeCell ref="F89:G89"/>
    <mergeCell ref="F90:G90"/>
    <mergeCell ref="B96:C96"/>
    <mergeCell ref="G96:I96"/>
    <mergeCell ref="H89:I89"/>
    <mergeCell ref="H90:I90"/>
    <mergeCell ref="H83:I83"/>
    <mergeCell ref="H73:I73"/>
    <mergeCell ref="H74:I74"/>
    <mergeCell ref="H75:I75"/>
    <mergeCell ref="H82:I82"/>
    <mergeCell ref="H76:I76"/>
    <mergeCell ref="H77:I77"/>
    <mergeCell ref="H78:I78"/>
    <mergeCell ref="H79:I79"/>
    <mergeCell ref="H80:I80"/>
    <mergeCell ref="H81:I81"/>
    <mergeCell ref="H84:I84"/>
    <mergeCell ref="H85:I85"/>
    <mergeCell ref="H86:I86"/>
    <mergeCell ref="H87:I87"/>
    <mergeCell ref="H88:I88"/>
    <mergeCell ref="B22:C22"/>
    <mergeCell ref="B23:C23"/>
    <mergeCell ref="B24:C24"/>
    <mergeCell ref="B25:C25"/>
    <mergeCell ref="B26:C26"/>
  </mergeCells>
  <printOptions horizontalCentered="1"/>
  <pageMargins left="0" right="0" top="0" bottom="0" header="0" footer="0"/>
  <pageSetup scale="66" fitToHeight="0" orientation="portrait" r:id="rId1"/>
  <headerFooter>
    <oddFooter>&amp;L&amp;"-,Italic"&amp;K01+034Habeco-P                         Mã hiệu: QT.01/HABECO-P-03                            Số ban hành:4/0                   &amp;C   &amp;R&amp;"-,Italic"&amp;K01+034Ngày:01/04/2024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Normal="100" workbookViewId="0">
      <selection activeCell="H5" sqref="H5"/>
    </sheetView>
  </sheetViews>
  <sheetFormatPr defaultRowHeight="14.4"/>
  <cols>
    <col min="1" max="1" width="4.109375" customWidth="1"/>
    <col min="2" max="2" width="18" customWidth="1"/>
    <col min="3" max="3" width="22.44140625" customWidth="1"/>
    <col min="5" max="5" width="18.33203125" customWidth="1"/>
    <col min="15" max="15" width="11" customWidth="1"/>
  </cols>
  <sheetData>
    <row r="1" spans="1:18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8" ht="35.25" customHeight="1">
      <c r="A2" s="148" t="s">
        <v>35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8" ht="18.75" customHeight="1">
      <c r="A3" s="30"/>
      <c r="B3" s="31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O3" t="s">
        <v>30</v>
      </c>
      <c r="P3" t="s">
        <v>30</v>
      </c>
      <c r="Q3">
        <v>1200</v>
      </c>
    </row>
    <row r="4" spans="1:18" ht="18.75" customHeight="1">
      <c r="A4" s="30"/>
      <c r="B4" s="31" t="s">
        <v>28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O4" t="s">
        <v>31</v>
      </c>
      <c r="P4">
        <f>70000*1.017-Q3</f>
        <v>69990</v>
      </c>
      <c r="Q4">
        <f>70000*0.017</f>
        <v>1190</v>
      </c>
    </row>
    <row r="5" spans="1:18" ht="18.75" customHeight="1">
      <c r="A5" s="30"/>
      <c r="B5" s="31" t="s">
        <v>1</v>
      </c>
      <c r="C5" s="31" t="s">
        <v>2</v>
      </c>
      <c r="D5" s="30"/>
      <c r="E5" s="30"/>
      <c r="F5" s="32" t="s">
        <v>4</v>
      </c>
      <c r="G5" s="30"/>
      <c r="H5" s="33" t="s">
        <v>37</v>
      </c>
      <c r="I5" s="30"/>
      <c r="J5" s="30"/>
      <c r="K5" s="30"/>
      <c r="L5" s="30"/>
      <c r="M5" s="30"/>
      <c r="O5" t="s">
        <v>32</v>
      </c>
      <c r="P5">
        <f>+P4*0.94*0.595*0.23</f>
        <v>9003.4436099999984</v>
      </c>
      <c r="Q5">
        <f>+P5/0.23/0.94/0.595</f>
        <v>69990</v>
      </c>
    </row>
    <row r="6" spans="1:18" ht="18.75" customHeight="1">
      <c r="A6" s="30"/>
      <c r="B6" s="31" t="s">
        <v>3</v>
      </c>
      <c r="C6" s="34">
        <v>46233</v>
      </c>
      <c r="D6" s="30"/>
      <c r="E6" s="30"/>
      <c r="F6" s="31" t="s">
        <v>33</v>
      </c>
      <c r="G6" s="30"/>
      <c r="H6" s="30"/>
      <c r="I6" s="30"/>
      <c r="J6" s="30"/>
      <c r="K6" s="30"/>
      <c r="L6" s="30"/>
      <c r="M6" s="30"/>
      <c r="N6">
        <f>+P5/2700</f>
        <v>3.3346087444444437</v>
      </c>
      <c r="P6">
        <v>10461</v>
      </c>
      <c r="Q6">
        <f>+P6/0.23/0.94/0.595</f>
        <v>81320.594842932536</v>
      </c>
      <c r="R6">
        <f>+P6/951</f>
        <v>11</v>
      </c>
    </row>
    <row r="7" spans="1:18" ht="18.75" customHeight="1">
      <c r="A7" s="30"/>
      <c r="B7" s="31" t="s">
        <v>29</v>
      </c>
      <c r="C7" s="30"/>
      <c r="D7" s="30"/>
      <c r="E7" s="30"/>
      <c r="F7" s="35" t="s">
        <v>36</v>
      </c>
      <c r="G7" s="30"/>
      <c r="H7" s="30"/>
      <c r="I7" s="30"/>
      <c r="J7" s="30"/>
      <c r="K7" s="30"/>
      <c r="L7" s="30"/>
      <c r="M7" s="30"/>
      <c r="O7" t="s">
        <v>34</v>
      </c>
      <c r="P7">
        <f>+P5/2700</f>
        <v>3.3346087444444437</v>
      </c>
      <c r="Q7">
        <f>+Q6+Q3</f>
        <v>82520.594842932536</v>
      </c>
      <c r="R7" s="29">
        <f>11*951</f>
        <v>10461</v>
      </c>
    </row>
    <row r="8" spans="1:1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8" ht="15.6">
      <c r="A9" s="30"/>
      <c r="B9" s="30"/>
      <c r="C9" s="36" t="s">
        <v>5</v>
      </c>
      <c r="D9" s="30"/>
      <c r="E9" s="30"/>
      <c r="F9" s="30"/>
      <c r="G9" s="36" t="s">
        <v>6</v>
      </c>
      <c r="H9" s="30"/>
      <c r="I9" s="30"/>
      <c r="J9" s="30"/>
      <c r="K9" s="30"/>
      <c r="L9" s="30"/>
      <c r="M9" s="30"/>
    </row>
    <row r="10" spans="1:18" ht="16.2">
      <c r="A10" s="30"/>
      <c r="B10" s="30"/>
      <c r="C10" s="30"/>
      <c r="D10" s="30"/>
      <c r="E10" s="30"/>
      <c r="F10" s="30"/>
      <c r="G10" s="37" t="s">
        <v>7</v>
      </c>
      <c r="H10" s="30"/>
      <c r="I10" s="30"/>
      <c r="J10" s="30"/>
      <c r="K10" s="30"/>
      <c r="L10" s="30"/>
      <c r="M10" s="30"/>
    </row>
    <row r="11" spans="1:18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8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8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8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8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8" ht="15.6">
      <c r="A16" s="30"/>
      <c r="B16" s="30"/>
      <c r="C16" s="36" t="s">
        <v>8</v>
      </c>
      <c r="D16" s="30"/>
      <c r="E16" s="30"/>
      <c r="F16" s="38" t="s">
        <v>9</v>
      </c>
      <c r="G16" s="30"/>
      <c r="H16" s="30"/>
      <c r="I16" s="30"/>
      <c r="J16" s="30"/>
      <c r="K16" s="30"/>
      <c r="L16" s="30"/>
      <c r="M16" s="30"/>
    </row>
    <row r="18" spans="1:13" ht="15.6">
      <c r="B18" s="1" t="s">
        <v>10</v>
      </c>
    </row>
    <row r="20" spans="1:13" ht="47.25" customHeight="1">
      <c r="A20" s="6" t="s">
        <v>11</v>
      </c>
      <c r="B20" s="151" t="s">
        <v>12</v>
      </c>
      <c r="C20" s="18" t="s">
        <v>13</v>
      </c>
      <c r="D20" s="5" t="s">
        <v>14</v>
      </c>
      <c r="E20" s="5" t="s">
        <v>15</v>
      </c>
      <c r="F20" s="18" t="s">
        <v>16</v>
      </c>
      <c r="G20" s="18" t="s">
        <v>17</v>
      </c>
      <c r="H20" s="18" t="s">
        <v>18</v>
      </c>
      <c r="I20" s="18" t="s">
        <v>19</v>
      </c>
      <c r="J20" s="5" t="s">
        <v>20</v>
      </c>
      <c r="K20" s="18" t="s">
        <v>21</v>
      </c>
      <c r="L20" s="18" t="s">
        <v>22</v>
      </c>
      <c r="M20" s="18" t="s">
        <v>23</v>
      </c>
    </row>
    <row r="21" spans="1:13" ht="16.5" customHeight="1">
      <c r="A21" s="16"/>
      <c r="B21" s="152"/>
      <c r="C21" s="17">
        <v>1</v>
      </c>
      <c r="D21" s="17"/>
      <c r="E21" s="17">
        <v>2</v>
      </c>
      <c r="F21" s="17">
        <v>3</v>
      </c>
      <c r="G21" s="17">
        <v>4</v>
      </c>
      <c r="H21" s="17">
        <v>5</v>
      </c>
      <c r="I21" s="17">
        <v>6</v>
      </c>
      <c r="J21" s="17">
        <v>7</v>
      </c>
      <c r="K21" s="17">
        <v>8</v>
      </c>
      <c r="L21" s="17">
        <v>9</v>
      </c>
      <c r="M21" s="17">
        <v>10</v>
      </c>
    </row>
    <row r="22" spans="1:13" ht="19.5" customHeight="1">
      <c r="A22" s="13">
        <v>1</v>
      </c>
      <c r="B22" s="13"/>
      <c r="C22" s="14">
        <v>46211</v>
      </c>
      <c r="D22" s="13"/>
      <c r="E22" s="15"/>
      <c r="F22" s="13"/>
      <c r="G22" s="15"/>
      <c r="H22" s="13"/>
      <c r="I22" s="13"/>
      <c r="J22" s="15"/>
      <c r="K22" s="13"/>
      <c r="L22" s="13"/>
      <c r="M22" s="13"/>
    </row>
    <row r="23" spans="1:13" ht="19.5" customHeight="1">
      <c r="A23" s="7">
        <v>2</v>
      </c>
      <c r="B23" s="7"/>
      <c r="C23" s="8">
        <v>46211</v>
      </c>
      <c r="D23" s="7"/>
      <c r="E23" s="9"/>
      <c r="F23" s="7"/>
      <c r="G23" s="9"/>
      <c r="H23" s="7"/>
      <c r="I23" s="7"/>
      <c r="J23" s="9"/>
      <c r="K23" s="7"/>
      <c r="L23" s="7"/>
      <c r="M23" s="7"/>
    </row>
    <row r="24" spans="1:13" ht="19.5" customHeight="1">
      <c r="A24" s="7">
        <v>3</v>
      </c>
      <c r="B24" s="7"/>
      <c r="C24" s="8">
        <v>46211</v>
      </c>
      <c r="D24" s="7"/>
      <c r="E24" s="9"/>
      <c r="F24" s="7"/>
      <c r="G24" s="9"/>
      <c r="H24" s="7"/>
      <c r="I24" s="7"/>
      <c r="J24" s="9"/>
      <c r="K24" s="7"/>
      <c r="L24" s="7"/>
      <c r="M24" s="7"/>
    </row>
    <row r="25" spans="1:13" ht="19.5" customHeight="1">
      <c r="A25" s="7">
        <v>4</v>
      </c>
      <c r="B25" s="7"/>
      <c r="C25" s="8">
        <v>46211</v>
      </c>
      <c r="D25" s="7"/>
      <c r="E25" s="9"/>
      <c r="F25" s="7"/>
      <c r="G25" s="9"/>
      <c r="H25" s="7"/>
      <c r="I25" s="7"/>
      <c r="J25" s="9"/>
      <c r="K25" s="7"/>
      <c r="L25" s="7"/>
      <c r="M25" s="7"/>
    </row>
    <row r="26" spans="1:13" ht="19.5" customHeight="1">
      <c r="A26" s="7">
        <v>5</v>
      </c>
      <c r="B26" s="7"/>
      <c r="C26" s="8">
        <v>46211</v>
      </c>
      <c r="D26" s="7"/>
      <c r="E26" s="9"/>
      <c r="F26" s="7"/>
      <c r="G26" s="9"/>
      <c r="H26" s="7"/>
      <c r="I26" s="7"/>
      <c r="J26" s="9"/>
      <c r="K26" s="7"/>
      <c r="L26" s="7"/>
      <c r="M26" s="7"/>
    </row>
    <row r="27" spans="1:13" ht="19.5" customHeight="1">
      <c r="A27" s="7">
        <v>6</v>
      </c>
      <c r="B27" s="7"/>
      <c r="C27" s="8">
        <v>46211</v>
      </c>
      <c r="D27" s="7"/>
      <c r="E27" s="9"/>
      <c r="F27" s="7"/>
      <c r="G27" s="9"/>
      <c r="H27" s="7"/>
      <c r="I27" s="7"/>
      <c r="J27" s="9"/>
      <c r="K27" s="7"/>
      <c r="L27" s="7"/>
      <c r="M27" s="7"/>
    </row>
    <row r="28" spans="1:13" ht="19.5" customHeight="1">
      <c r="A28" s="7">
        <v>7</v>
      </c>
      <c r="B28" s="7"/>
      <c r="C28" s="8">
        <v>46211</v>
      </c>
      <c r="D28" s="7"/>
      <c r="E28" s="9"/>
      <c r="F28" s="7"/>
      <c r="G28" s="9"/>
      <c r="H28" s="7"/>
      <c r="I28" s="7"/>
      <c r="J28" s="9"/>
      <c r="K28" s="7"/>
      <c r="L28" s="7"/>
      <c r="M28" s="7"/>
    </row>
    <row r="29" spans="1:13" ht="19.5" customHeight="1">
      <c r="A29" s="7">
        <v>8</v>
      </c>
      <c r="B29" s="7"/>
      <c r="C29" s="8">
        <v>46211</v>
      </c>
      <c r="D29" s="7"/>
      <c r="E29" s="9"/>
      <c r="F29" s="7"/>
      <c r="G29" s="9"/>
      <c r="H29" s="7"/>
      <c r="I29" s="7"/>
      <c r="J29" s="9"/>
      <c r="K29" s="7"/>
      <c r="L29" s="7"/>
      <c r="M29" s="7"/>
    </row>
    <row r="30" spans="1:13" ht="19.5" customHeight="1">
      <c r="A30" s="7">
        <v>9</v>
      </c>
      <c r="B30" s="7"/>
      <c r="C30" s="8">
        <v>46211</v>
      </c>
      <c r="D30" s="7"/>
      <c r="E30" s="9"/>
      <c r="F30" s="7"/>
      <c r="G30" s="9"/>
      <c r="H30" s="7"/>
      <c r="I30" s="7"/>
      <c r="J30" s="9"/>
      <c r="K30" s="7"/>
      <c r="L30" s="7"/>
      <c r="M30" s="7"/>
    </row>
    <row r="31" spans="1:13" ht="19.5" customHeight="1">
      <c r="A31" s="7">
        <v>10</v>
      </c>
      <c r="B31" s="39"/>
      <c r="C31" s="8">
        <v>46211</v>
      </c>
      <c r="D31" s="39"/>
      <c r="E31" s="40"/>
      <c r="F31" s="39"/>
      <c r="G31" s="40"/>
      <c r="H31" s="39"/>
      <c r="I31" s="39"/>
      <c r="J31" s="40"/>
      <c r="K31" s="39"/>
      <c r="L31" s="39"/>
      <c r="M31" s="39"/>
    </row>
    <row r="32" spans="1:13" ht="19.5" customHeight="1">
      <c r="A32" s="10">
        <v>11</v>
      </c>
      <c r="B32" s="10"/>
      <c r="C32" s="11">
        <v>46211</v>
      </c>
      <c r="D32" s="10"/>
      <c r="E32" s="12"/>
      <c r="F32" s="10"/>
      <c r="G32" s="12"/>
      <c r="H32" s="10"/>
      <c r="I32" s="10"/>
      <c r="J32" s="12"/>
      <c r="K32" s="10"/>
      <c r="L32" s="10"/>
      <c r="M32" s="10"/>
    </row>
    <row r="33" spans="1:14" ht="15.75" customHeight="1">
      <c r="A33" s="3"/>
      <c r="B33" s="3"/>
      <c r="C33" s="3"/>
      <c r="D33" s="3"/>
      <c r="E33" s="19"/>
      <c r="F33" s="19"/>
      <c r="G33" s="19"/>
      <c r="H33" s="19"/>
      <c r="I33" s="21" t="s">
        <v>26</v>
      </c>
      <c r="J33" s="19"/>
      <c r="K33" s="20"/>
      <c r="L33" s="20"/>
      <c r="M33" s="20"/>
    </row>
    <row r="34" spans="1:14" ht="15.75" customHeight="1">
      <c r="B34" s="1" t="s">
        <v>24</v>
      </c>
      <c r="C34" s="3"/>
      <c r="D34" s="3"/>
      <c r="E34" s="3" t="s">
        <v>25</v>
      </c>
      <c r="F34" s="3"/>
      <c r="G34" s="3"/>
      <c r="H34" s="3"/>
      <c r="I34" s="22" t="s">
        <v>6</v>
      </c>
      <c r="J34" s="3"/>
      <c r="K34" s="3"/>
      <c r="L34" s="3"/>
      <c r="M34" s="3"/>
    </row>
    <row r="35" spans="1:14" ht="15.75" customHeight="1">
      <c r="A35" s="2"/>
      <c r="B35" s="2"/>
      <c r="C35" s="2"/>
      <c r="D35" s="2"/>
      <c r="E35" s="2"/>
      <c r="F35" s="2"/>
      <c r="G35" s="2"/>
      <c r="H35" s="2"/>
      <c r="I35" s="23"/>
      <c r="J35" s="23" t="s">
        <v>27</v>
      </c>
      <c r="K35" s="4"/>
      <c r="L35" s="4"/>
      <c r="M35" s="4"/>
    </row>
    <row r="36" spans="1:14" ht="18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49"/>
      <c r="L36" s="149"/>
      <c r="M36" s="149"/>
      <c r="N36" s="149"/>
    </row>
  </sheetData>
  <mergeCells count="5">
    <mergeCell ref="K36:N36"/>
    <mergeCell ref="A2:M2"/>
    <mergeCell ref="A36:E36"/>
    <mergeCell ref="F36:J36"/>
    <mergeCell ref="B20:B21"/>
  </mergeCells>
  <printOptions horizont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Sóng</vt:lpstr>
      <vt:lpstr>Sheet1</vt:lpstr>
      <vt:lpstr>Sóng!Print_Area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2026-08-17T12:20:12Z</dcterms:modified>
</cp:coreProperties>
</file>